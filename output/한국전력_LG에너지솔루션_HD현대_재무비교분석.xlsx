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사용안내" sheetId="1" state="visible" r:id="rId1"/>
    <sheet name="원본데이터" sheetId="2" state="visible" r:id="rId2"/>
    <sheet name="비교분석" sheetId="3" state="visible" r:id="rId3"/>
    <sheet name="대시보드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(#,##0);-"/>
    <numFmt numFmtId="165" formatCode="0.0%"/>
  </numFmts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color rgb="00000000"/>
    </font>
    <font>
      <name val="Arial"/>
      <b val="1"/>
    </font>
    <font>
      <name val="Arial"/>
      <b val="1"/>
      <color rgb="00FFFFFF"/>
    </font>
    <font>
      <name val="Arial"/>
      <i val="1"/>
      <color rgb="00808080"/>
    </font>
    <font>
      <name val="Arial"/>
      <color rgb="000000FF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203864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0" borderId="0" pivotButton="0" quotePrefix="0" xfId="0"/>
    <xf numFmtId="0" fontId="4" fillId="3" borderId="0" pivotButton="0" quotePrefix="0" xfId="0"/>
    <xf numFmtId="0" fontId="4" fillId="3" borderId="0" applyAlignment="1" pivotButton="0" quotePrefix="0" xfId="0">
      <alignment horizontal="center"/>
    </xf>
    <xf numFmtId="164" fontId="6" fillId="0" borderId="1" pivotButton="0" quotePrefix="0" xfId="0"/>
    <xf numFmtId="164" fontId="2" fillId="0" borderId="1" pivotButton="0" quotePrefix="0" xfId="0"/>
    <xf numFmtId="0" fontId="3" fillId="4" borderId="0" pivotButton="0" quotePrefix="0" xfId="0"/>
    <xf numFmtId="165" fontId="2" fillId="0" borderId="1" pivotButton="0" quotePrefix="0" xfId="0"/>
    <xf numFmtId="0" fontId="0" fillId="0" borderId="1" applyAlignment="1" pivotButton="0" quotePrefix="0" xfId="0">
      <alignment horizontal="center"/>
    </xf>
    <xf numFmtId="0" fontId="4" fillId="3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매출액 추이 (원)</a:t>
            </a:r>
          </a:p>
        </rich>
      </tx>
    </title>
    <plotArea>
      <lineChart>
        <grouping val="standard"/>
        <ser>
          <idx val="0"/>
          <order val="0"/>
          <tx>
            <v>한국전력</v>
          </tx>
          <spPr>
            <a:ln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cat>
            <numRef>
              <f>'원본데이터'!$B$5:$D$5</f>
            </numRef>
          </cat>
          <val>
            <numRef>
              <f>'원본데이터'!$B$6:$D$6</f>
            </numRef>
          </val>
          <smooth val="0"/>
        </ser>
        <ser>
          <idx val="1"/>
          <order val="1"/>
          <tx>
            <v>LG에너지솔루션</v>
          </tx>
          <spPr>
            <a:ln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cat>
            <numRef>
              <f>'원본데이터'!$B$5:$D$5</f>
            </numRef>
          </cat>
          <val>
            <numRef>
              <f>'원본데이터'!$B$22:$D$22</f>
            </numRef>
          </val>
          <smooth val="0"/>
        </ser>
        <ser>
          <idx val="2"/>
          <order val="2"/>
          <tx>
            <v>HD현대</v>
          </tx>
          <spPr>
            <a:ln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cat>
            <numRef>
              <f>'원본데이터'!$B$5:$D$5</f>
            </numRef>
          </cat>
          <val>
            <numRef>
              <f>'원본데이터'!$B$38:$D$38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영업이익 추이 (원)</a:t>
            </a:r>
          </a:p>
        </rich>
      </tx>
    </title>
    <plotArea>
      <lineChart>
        <grouping val="standard"/>
        <ser>
          <idx val="0"/>
          <order val="0"/>
          <tx>
            <v>한국전력</v>
          </tx>
          <spPr>
            <a:ln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cat>
            <numRef>
              <f>'원본데이터'!$B$5:$D$5</f>
            </numRef>
          </cat>
          <val>
            <numRef>
              <f>'원본데이터'!$B$9:$D$9</f>
            </numRef>
          </val>
          <smooth val="0"/>
        </ser>
        <ser>
          <idx val="1"/>
          <order val="1"/>
          <tx>
            <v>LG에너지솔루션</v>
          </tx>
          <spPr>
            <a:ln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cat>
            <numRef>
              <f>'원본데이터'!$B$5:$D$5</f>
            </numRef>
          </cat>
          <val>
            <numRef>
              <f>'원본데이터'!$B$25:$D$25</f>
            </numRef>
          </val>
          <smooth val="0"/>
        </ser>
        <ser>
          <idx val="2"/>
          <order val="2"/>
          <tx>
            <v>HD현대</v>
          </tx>
          <spPr>
            <a:ln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cat>
            <numRef>
              <f>'원본데이터'!$B$5:$D$5</f>
            </numRef>
          </cat>
          <val>
            <numRef>
              <f>'원본데이터'!$B$41:$D$41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당기순이익 추이 (원)</a:t>
            </a:r>
          </a:p>
        </rich>
      </tx>
    </title>
    <plotArea>
      <lineChart>
        <grouping val="standard"/>
        <ser>
          <idx val="0"/>
          <order val="0"/>
          <tx>
            <v>한국전력</v>
          </tx>
          <spPr>
            <a:ln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cat>
            <numRef>
              <f>'원본데이터'!$B$5:$D$5</f>
            </numRef>
          </cat>
          <val>
            <numRef>
              <f>'원본데이터'!$B$10:$D$10</f>
            </numRef>
          </val>
          <smooth val="0"/>
        </ser>
        <ser>
          <idx val="1"/>
          <order val="1"/>
          <tx>
            <v>LG에너지솔루션</v>
          </tx>
          <spPr>
            <a:ln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cat>
            <numRef>
              <f>'원본데이터'!$B$5:$D$5</f>
            </numRef>
          </cat>
          <val>
            <numRef>
              <f>'원본데이터'!$B$26:$D$26</f>
            </numRef>
          </val>
          <smooth val="0"/>
        </ser>
        <ser>
          <idx val="2"/>
          <order val="2"/>
          <tx>
            <v>HD현대</v>
          </tx>
          <spPr>
            <a:ln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cat>
            <numRef>
              <f>'원본데이터'!$B$5:$D$5</f>
            </numRef>
          </cat>
          <val>
            <numRef>
              <f>'원본데이터'!$B$42:$D$42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ROE 비교 (%)</a:t>
            </a:r>
          </a:p>
        </rich>
      </tx>
    </title>
    <plotArea>
      <barChart>
        <barDir val="col"/>
        <grouping val="clustered"/>
        <ser>
          <idx val="0"/>
          <order val="0"/>
          <tx>
            <v>한국전력</v>
          </tx>
          <spPr>
            <a:ln>
              <a:prstDash val="solid"/>
            </a:ln>
          </spPr>
          <cat>
            <numRef>
              <f>'비교분석'!$B$24:$D$24</f>
            </numRef>
          </cat>
          <val>
            <numRef>
              <f>'비교분석'!$B$25:$D$25</f>
            </numRef>
          </val>
        </ser>
        <ser>
          <idx val="1"/>
          <order val="1"/>
          <tx>
            <v>LG에너지솔루션</v>
          </tx>
          <spPr>
            <a:ln>
              <a:prstDash val="solid"/>
            </a:ln>
          </spPr>
          <cat>
            <numRef>
              <f>'비교분석'!$B$24:$D$24</f>
            </numRef>
          </cat>
          <val>
            <numRef>
              <f>'비교분석'!$B$26:$D$26</f>
            </numRef>
          </val>
        </ser>
        <ser>
          <idx val="2"/>
          <order val="2"/>
          <tx>
            <v>HD현대</v>
          </tx>
          <spPr>
            <a:ln>
              <a:prstDash val="solid"/>
            </a:ln>
          </spPr>
          <cat>
            <numRef>
              <f>'비교분석'!$B$24:$D$24</f>
            </numRef>
          </cat>
          <val>
            <numRef>
              <f>'비교분석'!$B$27:$D$27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부채비율 비교 (%)</a:t>
            </a:r>
          </a:p>
        </rich>
      </tx>
    </title>
    <plotArea>
      <barChart>
        <barDir val="col"/>
        <grouping val="clustered"/>
        <ser>
          <idx val="0"/>
          <order val="0"/>
          <tx>
            <v>한국전력</v>
          </tx>
          <spPr>
            <a:ln>
              <a:prstDash val="solid"/>
            </a:ln>
          </spPr>
          <cat>
            <numRef>
              <f>'비교분석'!$B$30:$D$30</f>
            </numRef>
          </cat>
          <val>
            <numRef>
              <f>'비교분석'!$B$31:$D$31</f>
            </numRef>
          </val>
        </ser>
        <ser>
          <idx val="1"/>
          <order val="1"/>
          <tx>
            <v>LG에너지솔루션</v>
          </tx>
          <spPr>
            <a:ln>
              <a:prstDash val="solid"/>
            </a:ln>
          </spPr>
          <cat>
            <numRef>
              <f>'비교분석'!$B$30:$D$30</f>
            </numRef>
          </cat>
          <val>
            <numRef>
              <f>'비교분석'!$B$32:$D$32</f>
            </numRef>
          </val>
        </ser>
        <ser>
          <idx val="2"/>
          <order val="2"/>
          <tx>
            <v>HD현대</v>
          </tx>
          <spPr>
            <a:ln>
              <a:prstDash val="solid"/>
            </a:ln>
          </spPr>
          <cat>
            <numRef>
              <f>'비교분석'!$B$30:$D$30</f>
            </numRef>
          </cat>
          <val>
            <numRef>
              <f>'비교분석'!$B$33:$D$33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배당성향 비교 (%)</a:t>
            </a:r>
          </a:p>
        </rich>
      </tx>
    </title>
    <plotArea>
      <barChart>
        <barDir val="col"/>
        <grouping val="clustered"/>
        <ser>
          <idx val="0"/>
          <order val="0"/>
          <tx>
            <v>한국전력</v>
          </tx>
          <spPr>
            <a:ln>
              <a:prstDash val="solid"/>
            </a:ln>
          </spPr>
          <cat>
            <numRef>
              <f>'비교분석'!$B$46:$D$46</f>
            </numRef>
          </cat>
          <val>
            <numRef>
              <f>'비교분석'!$B$47:$D$47</f>
            </numRef>
          </val>
        </ser>
        <ser>
          <idx val="1"/>
          <order val="1"/>
          <tx>
            <v>LG에너지솔루션</v>
          </tx>
          <spPr>
            <a:ln>
              <a:prstDash val="solid"/>
            </a:ln>
          </spPr>
          <cat>
            <numRef>
              <f>'비교분석'!$B$46:$D$46</f>
            </numRef>
          </cat>
          <val>
            <numRef>
              <f>'비교분석'!$B$48:$D$48</f>
            </numRef>
          </val>
        </ser>
        <ser>
          <idx val="2"/>
          <order val="2"/>
          <tx>
            <v>HD현대</v>
          </tx>
          <spPr>
            <a:ln>
              <a:prstDash val="solid"/>
            </a:ln>
          </spPr>
          <cat>
            <numRef>
              <f>'비교분석'!$B$46:$D$46</f>
            </numRef>
          </cat>
          <val>
            <numRef>
              <f>'비교분석'!$B$49:$D$49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20</row>
      <rowOff>0</rowOff>
    </from>
    <ext cx="57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37</row>
      <rowOff>0</rowOff>
    </from>
    <ext cx="576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9</col>
      <colOff>0</colOff>
      <row>3</row>
      <rowOff>0</rowOff>
    </from>
    <ext cx="5760000" cy="288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9</col>
      <colOff>0</colOff>
      <row>20</row>
      <rowOff>0</rowOff>
    </from>
    <ext cx="576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9</col>
      <colOff>0</colOff>
      <row>37</row>
      <rowOff>0</rowOff>
    </from>
    <ext cx="576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3개 기업 재무제표 비교분석기 (DART Open API 연동)</t>
        </is>
      </c>
    </row>
    <row r="2">
      <c r="A2" s="2" t="inlineStr"/>
    </row>
    <row r="3">
      <c r="A3" s="3" t="inlineStr">
        <is>
          <t>1. 데이터 출처</t>
        </is>
      </c>
    </row>
    <row r="4">
      <c r="A4" s="2" t="inlineStr">
        <is>
          <t xml:space="preserve">   - 금융감독원 전자공시시스템(DART) Open API (opendart.fss.or.kr)</t>
        </is>
      </c>
    </row>
    <row r="5">
      <c r="A5" s="2" t="inlineStr">
        <is>
          <t xml:space="preserve">   - 각 기업 최신 사업보고서(연간) 기준 연결재무제표(CFS, 연결 재무제표 미제출 시 별도(OFS))를 사용했습니다.</t>
        </is>
      </c>
    </row>
    <row r="6">
      <c r="A6" s="2" t="inlineStr">
        <is>
          <t xml:space="preserve">   - 배당 정보는 DART '배당에 관한 사항(alotMatter)' 공시를 사용했으며, 원 단위(백만원 -&gt; 원 환산)로 표시했습니다.</t>
        </is>
      </c>
    </row>
    <row r="7">
      <c r="A7" s="2" t="inlineStr">
        <is>
          <t xml:space="preserve">   - '원본데이터' 시트 각 회사 블록 상단에 회사별 corp_code, 종목코드, 사업연도, 재무제표 구분을 표기했습니다.</t>
        </is>
      </c>
    </row>
    <row r="8">
      <c r="A8" s="2" t="inlineStr"/>
    </row>
    <row r="9">
      <c r="A9" s="3" t="inlineStr">
        <is>
          <t>2. 이 파일의 구성</t>
        </is>
      </c>
    </row>
    <row r="10">
      <c r="A10" s="2" t="inlineStr">
        <is>
          <t xml:space="preserve">   - 원본데이터 : DART에서 가져온 3개 기업 x 3개년 원본 재무제표/배당 수치</t>
        </is>
      </c>
    </row>
    <row r="11">
      <c r="A11" s="2" t="inlineStr">
        <is>
          <t xml:space="preserve">   - 비교분석   : 원본데이터를 참조하는 수식으로 수익성/안정성/성장성/배당 지표를 자동 계산, 3개 기업을 나란히 비교</t>
        </is>
      </c>
    </row>
    <row r="12">
      <c r="A12" s="2" t="inlineStr">
        <is>
          <t xml:space="preserve">   - 대시보드   : 매출액·영업이익·순이익 추이 및 수익성/안정성/배당성향 비교 차트, 최신연도 요약 스코어카드</t>
        </is>
      </c>
    </row>
    <row r="13">
      <c r="A13" s="2" t="inlineStr"/>
    </row>
    <row r="14">
      <c r="A14" s="3" t="inlineStr">
        <is>
          <t>3. 주의사항</t>
        </is>
      </c>
    </row>
    <row r="15">
      <c r="A15" s="2" t="inlineStr">
        <is>
          <t xml:space="preserve">   - 이 데이터는 스크립트 실행 시점(DART 최신 공시 기준)의 스냅샷입니다. 최신 공시가 갱신되면 다시 조회해야 합니다.</t>
        </is>
      </c>
    </row>
    <row r="16">
      <c r="A16" s="2" t="inlineStr">
        <is>
          <t xml:space="preserve">   - 계정과목명은 기업/업종에 따라 다르게 표기될 수 있어 자동 매칭을 사용했습니다.</t>
        </is>
      </c>
    </row>
    <row r="17">
      <c r="A17" s="2" t="inlineStr">
        <is>
          <t xml:space="preserve">   - 배당을 실시하지 않았거나 공시에 해당 항목이 없는 경우 '-' 로 표시됩니다 (예: 성장 단계 기업의 무배당).</t>
        </is>
      </c>
    </row>
    <row r="18">
      <c r="A18" s="2" t="inlineStr">
        <is>
          <t xml:space="preserve">   - 값은 원(KRW) 단위입니다.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9"/>
  <sheetViews>
    <sheetView showGridLines="0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3개 기업 재무제표 원본 데이터 (단위: 원)</t>
        </is>
      </c>
    </row>
    <row r="3">
      <c r="A3" s="4" t="inlineStr">
        <is>
          <t>■ 한국전력 (한국전력공사)</t>
        </is>
      </c>
    </row>
    <row r="4">
      <c r="A4" s="5" t="inlineStr">
        <is>
          <t>출처: DART Open API, corp_code=00159193, 종목코드=015760, 사업연도=2025(사업보고서), 재무제표구분=CFS (연결), 배당: alotMatter 공시</t>
        </is>
      </c>
    </row>
    <row r="5">
      <c r="A5" s="6" t="inlineStr">
        <is>
          <t>항목</t>
        </is>
      </c>
      <c r="B5" s="7" t="inlineStr">
        <is>
          <t>2023</t>
        </is>
      </c>
      <c r="C5" s="7" t="inlineStr">
        <is>
          <t>2024</t>
        </is>
      </c>
      <c r="D5" s="7" t="inlineStr">
        <is>
          <t>2025</t>
        </is>
      </c>
    </row>
    <row r="6">
      <c r="A6" s="2" t="inlineStr">
        <is>
          <t>매출액</t>
        </is>
      </c>
      <c r="B6" s="8" t="n">
        <v>88219461000000</v>
      </c>
      <c r="C6" s="8" t="n">
        <v>93398896000000</v>
      </c>
      <c r="D6" s="8" t="n">
        <v>97429346000000</v>
      </c>
    </row>
    <row r="7">
      <c r="A7" s="2" t="inlineStr">
        <is>
          <t>매출원가</t>
        </is>
      </c>
      <c r="B7" s="8" t="n">
        <v>89699527000000</v>
      </c>
      <c r="C7" s="8" t="n">
        <v>81964160000000</v>
      </c>
      <c r="D7" s="8" t="n">
        <v>80704812000000</v>
      </c>
    </row>
    <row r="8">
      <c r="A8" s="2" t="inlineStr">
        <is>
          <t>매출총이익</t>
        </is>
      </c>
      <c r="B8" s="9">
        <f>IFERROR(B6-B7,"N/A")</f>
        <v/>
      </c>
      <c r="C8" s="9">
        <f>IFERROR(C6-C7,"N/A")</f>
        <v/>
      </c>
      <c r="D8" s="9">
        <f>IFERROR(D6-D7,"N/A")</f>
        <v/>
      </c>
    </row>
    <row r="9">
      <c r="A9" s="2" t="inlineStr">
        <is>
          <t>영업이익</t>
        </is>
      </c>
      <c r="B9" s="8" t="n">
        <v>-4541648000000</v>
      </c>
      <c r="C9" s="8" t="n">
        <v>8364710000000</v>
      </c>
      <c r="D9" s="8" t="n">
        <v>13490557000000</v>
      </c>
    </row>
    <row r="10">
      <c r="A10" s="2" t="inlineStr">
        <is>
          <t>당기순이익</t>
        </is>
      </c>
      <c r="B10" s="8" t="n">
        <v>-4716144000000</v>
      </c>
      <c r="C10" s="8" t="n">
        <v>3621968000000</v>
      </c>
      <c r="D10" s="8" t="n">
        <v>8666656000000</v>
      </c>
    </row>
    <row r="11">
      <c r="A11" s="2" t="inlineStr">
        <is>
          <t>유동자산</t>
        </is>
      </c>
      <c r="B11" s="8" t="n">
        <v>29536215000000</v>
      </c>
      <c r="C11" s="8" t="n">
        <v>29255205000000</v>
      </c>
      <c r="D11" s="8" t="n">
        <v>30715388000000</v>
      </c>
    </row>
    <row r="12">
      <c r="A12" s="2" t="inlineStr">
        <is>
          <t>재고자산</t>
        </is>
      </c>
      <c r="B12" s="8" t="n">
        <v>8875615000000</v>
      </c>
      <c r="C12" s="8" t="n">
        <v>9769236000000</v>
      </c>
      <c r="D12" s="8" t="n">
        <v>10152724000000</v>
      </c>
    </row>
    <row r="13">
      <c r="A13" s="2" t="inlineStr">
        <is>
          <t>유동부채</t>
        </is>
      </c>
      <c r="B13" s="8" t="n">
        <v>61248421000000</v>
      </c>
      <c r="C13" s="8" t="n">
        <v>63968789000000</v>
      </c>
      <c r="D13" s="8" t="n">
        <v>67107317000000</v>
      </c>
    </row>
    <row r="14">
      <c r="A14" s="2" t="inlineStr">
        <is>
          <t>자산총계</t>
        </is>
      </c>
      <c r="B14" s="8" t="n">
        <v>239714965000000</v>
      </c>
      <c r="C14" s="8" t="n">
        <v>246807795000000</v>
      </c>
      <c r="D14" s="8" t="n">
        <v>254927457000000</v>
      </c>
    </row>
    <row r="15">
      <c r="A15" s="2" t="inlineStr">
        <is>
          <t>부채총계</t>
        </is>
      </c>
      <c r="B15" s="8" t="n">
        <v>202450215000000</v>
      </c>
      <c r="C15" s="8" t="n">
        <v>205444962000000</v>
      </c>
      <c r="D15" s="8" t="n">
        <v>205604513000000</v>
      </c>
    </row>
    <row r="16">
      <c r="A16" s="2" t="inlineStr">
        <is>
          <t>자본총계</t>
        </is>
      </c>
      <c r="B16" s="8" t="n">
        <v>37264750000000</v>
      </c>
      <c r="C16" s="8" t="n">
        <v>41362833000000</v>
      </c>
      <c r="D16" s="8" t="n">
        <v>49322944000000</v>
      </c>
    </row>
    <row r="17">
      <c r="A17" s="2" t="inlineStr">
        <is>
          <t>현금배당금총액</t>
        </is>
      </c>
      <c r="B17" s="8" t="inlineStr">
        <is>
          <t>N/A</t>
        </is>
      </c>
      <c r="C17" s="8" t="n">
        <v>136738000000</v>
      </c>
      <c r="D17" s="8" t="n">
        <v>989909000000</v>
      </c>
    </row>
    <row r="19">
      <c r="A19" s="4" t="inlineStr">
        <is>
          <t>■ LG에너지솔루션 (LG에너지솔루션)</t>
        </is>
      </c>
    </row>
    <row r="20">
      <c r="A20" s="5" t="inlineStr">
        <is>
          <t>출처: DART Open API, corp_code=01515323, 종목코드=373220, 사업연도=2025(사업보고서), 재무제표구분=CFS (연결), 배당: alotMatter 공시</t>
        </is>
      </c>
    </row>
    <row r="21">
      <c r="A21" s="6" t="inlineStr">
        <is>
          <t>항목</t>
        </is>
      </c>
      <c r="B21" s="7" t="inlineStr">
        <is>
          <t>2023</t>
        </is>
      </c>
      <c r="C21" s="7" t="inlineStr">
        <is>
          <t>2024</t>
        </is>
      </c>
      <c r="D21" s="7" t="inlineStr">
        <is>
          <t>2025</t>
        </is>
      </c>
    </row>
    <row r="22">
      <c r="A22" s="2" t="inlineStr">
        <is>
          <t>매출액</t>
        </is>
      </c>
      <c r="B22" s="8" t="n">
        <v>33745470000000</v>
      </c>
      <c r="C22" s="8" t="n">
        <v>25619585000000</v>
      </c>
      <c r="D22" s="8" t="n">
        <v>23671759000000</v>
      </c>
    </row>
    <row r="23">
      <c r="A23" s="2" t="inlineStr">
        <is>
          <t>매출원가</t>
        </is>
      </c>
      <c r="B23" s="8" t="n">
        <v>28802437000000</v>
      </c>
      <c r="C23" s="8" t="n">
        <v>22213605000000</v>
      </c>
      <c r="D23" s="8" t="n">
        <v>19439651000000</v>
      </c>
    </row>
    <row r="24">
      <c r="A24" s="2" t="inlineStr">
        <is>
          <t>매출총이익</t>
        </is>
      </c>
      <c r="B24" s="9">
        <f>IFERROR(B22-B23,"N/A")</f>
        <v/>
      </c>
      <c r="C24" s="9">
        <f>IFERROR(C22-C23,"N/A")</f>
        <v/>
      </c>
      <c r="D24" s="9">
        <f>IFERROR(D22-D23,"N/A")</f>
        <v/>
      </c>
    </row>
    <row r="25">
      <c r="A25" s="2" t="inlineStr">
        <is>
          <t>영업이익</t>
        </is>
      </c>
      <c r="B25" s="8" t="n">
        <v>2163234000000</v>
      </c>
      <c r="C25" s="8" t="n">
        <v>575387000000</v>
      </c>
      <c r="D25" s="8" t="n">
        <v>1346120000000</v>
      </c>
    </row>
    <row r="26">
      <c r="A26" s="2" t="inlineStr">
        <is>
          <t>당기순이익</t>
        </is>
      </c>
      <c r="B26" s="8" t="n">
        <v>1637985000000</v>
      </c>
      <c r="C26" s="8" t="n">
        <v>338602000000</v>
      </c>
      <c r="D26" s="8" t="n">
        <v>80803000000</v>
      </c>
    </row>
    <row r="27">
      <c r="A27" s="2" t="inlineStr">
        <is>
          <t>유동자산</t>
        </is>
      </c>
      <c r="B27" s="8" t="n">
        <v>17208396000000</v>
      </c>
      <c r="C27" s="8" t="n">
        <v>15327395000000</v>
      </c>
      <c r="D27" s="8" t="n">
        <v>18412127000000</v>
      </c>
    </row>
    <row r="28">
      <c r="A28" s="2" t="inlineStr">
        <is>
          <t>재고자산</t>
        </is>
      </c>
      <c r="B28" s="8" t="n">
        <v>5396336000000</v>
      </c>
      <c r="C28" s="8" t="n">
        <v>4552355000000</v>
      </c>
      <c r="D28" s="8" t="n">
        <v>4350407000000</v>
      </c>
    </row>
    <row r="29">
      <c r="A29" s="2" t="inlineStr">
        <is>
          <t>유동부채</t>
        </is>
      </c>
      <c r="B29" s="8" t="n">
        <v>10937185000000</v>
      </c>
      <c r="C29" s="8" t="n">
        <v>12054922000000</v>
      </c>
      <c r="D29" s="8" t="n">
        <v>16785357000000</v>
      </c>
    </row>
    <row r="30">
      <c r="A30" s="2" t="inlineStr">
        <is>
          <t>자산총계</t>
        </is>
      </c>
      <c r="B30" s="8" t="n">
        <v>45437144000000</v>
      </c>
      <c r="C30" s="8" t="n">
        <v>60306791000000</v>
      </c>
      <c r="D30" s="8" t="n">
        <v>67147953000000</v>
      </c>
    </row>
    <row r="31">
      <c r="A31" s="2" t="inlineStr">
        <is>
          <t>부채총계</t>
        </is>
      </c>
      <c r="B31" s="8" t="n">
        <v>21063635000000</v>
      </c>
      <c r="C31" s="8" t="n">
        <v>29340248000000</v>
      </c>
      <c r="D31" s="8" t="n">
        <v>37826277000000</v>
      </c>
    </row>
    <row r="32">
      <c r="A32" s="2" t="inlineStr">
        <is>
          <t>자본총계</t>
        </is>
      </c>
      <c r="B32" s="8" t="n">
        <v>24373509000000</v>
      </c>
      <c r="C32" s="8" t="n">
        <v>30966543000000</v>
      </c>
      <c r="D32" s="8" t="n">
        <v>29321676000000</v>
      </c>
    </row>
    <row r="33">
      <c r="A33" s="2" t="inlineStr">
        <is>
          <t>현금배당금총액</t>
        </is>
      </c>
      <c r="B33" s="8" t="inlineStr">
        <is>
          <t>N/A</t>
        </is>
      </c>
      <c r="C33" s="8" t="inlineStr">
        <is>
          <t>N/A</t>
        </is>
      </c>
      <c r="D33" s="8" t="inlineStr">
        <is>
          <t>N/A</t>
        </is>
      </c>
    </row>
    <row r="35">
      <c r="A35" s="4" t="inlineStr">
        <is>
          <t>■ HD현대 (HD현대)</t>
        </is>
      </c>
    </row>
    <row r="36">
      <c r="A36" s="5" t="inlineStr">
        <is>
          <t>출처: DART Open API, corp_code=01205709, 종목코드=267250, 사업연도=2025(사업보고서), 재무제표구분=CFS (연결), 배당: alotMatter 공시</t>
        </is>
      </c>
    </row>
    <row r="37">
      <c r="A37" s="6" t="inlineStr">
        <is>
          <t>항목</t>
        </is>
      </c>
      <c r="B37" s="7" t="inlineStr">
        <is>
          <t>2023</t>
        </is>
      </c>
      <c r="C37" s="7" t="inlineStr">
        <is>
          <t>2024</t>
        </is>
      </c>
      <c r="D37" s="7" t="inlineStr">
        <is>
          <t>2025</t>
        </is>
      </c>
    </row>
    <row r="38">
      <c r="A38" s="2" t="inlineStr">
        <is>
          <t>매출액</t>
        </is>
      </c>
      <c r="B38" s="8" t="n">
        <v>61331302785000</v>
      </c>
      <c r="C38" s="8" t="n">
        <v>67765626088000</v>
      </c>
      <c r="D38" s="8" t="n">
        <v>71259438270000</v>
      </c>
    </row>
    <row r="39">
      <c r="A39" s="2" t="inlineStr">
        <is>
          <t>매출원가</t>
        </is>
      </c>
      <c r="B39" s="8" t="n">
        <v>56366042540000</v>
      </c>
      <c r="C39" s="8" t="n">
        <v>61338721114000</v>
      </c>
      <c r="D39" s="8" t="n">
        <v>61203798281000</v>
      </c>
    </row>
    <row r="40">
      <c r="A40" s="2" t="inlineStr">
        <is>
          <t>매출총이익</t>
        </is>
      </c>
      <c r="B40" s="9">
        <f>IFERROR(B38-B39,"N/A")</f>
        <v/>
      </c>
      <c r="C40" s="9">
        <f>IFERROR(C38-C39,"N/A")</f>
        <v/>
      </c>
      <c r="D40" s="9">
        <f>IFERROR(D38-D39,"N/A")</f>
        <v/>
      </c>
    </row>
    <row r="41">
      <c r="A41" s="2" t="inlineStr">
        <is>
          <t>영업이익</t>
        </is>
      </c>
      <c r="B41" s="8" t="n">
        <v>2031563587000</v>
      </c>
      <c r="C41" s="8" t="n">
        <v>2983162778000</v>
      </c>
      <c r="D41" s="8" t="n">
        <v>6099636253000</v>
      </c>
    </row>
    <row r="42">
      <c r="A42" s="2" t="inlineStr">
        <is>
          <t>당기순이익</t>
        </is>
      </c>
      <c r="B42" s="8" t="n">
        <v>785832206000</v>
      </c>
      <c r="C42" s="8" t="n">
        <v>1930179481000</v>
      </c>
      <c r="D42" s="8" t="n">
        <v>3675482625000</v>
      </c>
    </row>
    <row r="43">
      <c r="A43" s="2" t="inlineStr">
        <is>
          <t>유동자산</t>
        </is>
      </c>
      <c r="B43" s="8" t="n">
        <v>32083110520000</v>
      </c>
      <c r="C43" s="8" t="n">
        <v>35592849734000</v>
      </c>
      <c r="D43" s="8" t="n">
        <v>39632675115000</v>
      </c>
    </row>
    <row r="44">
      <c r="A44" s="2" t="inlineStr">
        <is>
          <t>재고자산</t>
        </is>
      </c>
      <c r="B44" s="8" t="n">
        <v>9416327539000</v>
      </c>
      <c r="C44" s="8" t="n">
        <v>10007110182000</v>
      </c>
      <c r="D44" s="8" t="n">
        <v>10225466549000</v>
      </c>
    </row>
    <row r="45">
      <c r="A45" s="2" t="inlineStr">
        <is>
          <t>유동부채</t>
        </is>
      </c>
      <c r="B45" s="8" t="n">
        <v>28532163119000</v>
      </c>
      <c r="C45" s="8" t="n">
        <v>32333112202000</v>
      </c>
      <c r="D45" s="8" t="n">
        <v>33637107184000</v>
      </c>
    </row>
    <row r="46">
      <c r="A46" s="2" t="inlineStr">
        <is>
          <t>자산총계</t>
        </is>
      </c>
      <c r="B46" s="8" t="n">
        <v>67982820888000</v>
      </c>
      <c r="C46" s="8" t="n">
        <v>73866670219000</v>
      </c>
      <c r="D46" s="8" t="n">
        <v>78685890494000</v>
      </c>
    </row>
    <row r="47">
      <c r="A47" s="2" t="inlineStr">
        <is>
          <t>부채총계</t>
        </is>
      </c>
      <c r="B47" s="8" t="n">
        <v>44750983788000</v>
      </c>
      <c r="C47" s="8" t="n">
        <v>47481568074000</v>
      </c>
      <c r="D47" s="8" t="n">
        <v>48350799380000</v>
      </c>
    </row>
    <row r="48">
      <c r="A48" s="2" t="inlineStr">
        <is>
          <t>자본총계</t>
        </is>
      </c>
      <c r="B48" s="8" t="n">
        <v>23231837100000</v>
      </c>
      <c r="C48" s="8" t="n">
        <v>26385102145000</v>
      </c>
      <c r="D48" s="8" t="n">
        <v>30335091114000</v>
      </c>
    </row>
    <row r="49">
      <c r="A49" s="2" t="inlineStr">
        <is>
          <t>현금배당금총액</t>
        </is>
      </c>
      <c r="B49" s="8" t="inlineStr">
        <is>
          <t>N/A</t>
        </is>
      </c>
      <c r="C49" s="8" t="n">
        <v>254406000000</v>
      </c>
      <c r="D49" s="8" t="n">
        <v>282674000000</v>
      </c>
    </row>
  </sheetData>
  <mergeCells count="7">
    <mergeCell ref="A1:D1"/>
    <mergeCell ref="A35:D35"/>
    <mergeCell ref="A4:D4"/>
    <mergeCell ref="A3:D3"/>
    <mergeCell ref="A20:D20"/>
    <mergeCell ref="A19:D19"/>
    <mergeCell ref="A36:D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0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3개 기업 재무비율 비교분석</t>
        </is>
      </c>
    </row>
    <row r="3">
      <c r="A3" s="10" t="inlineStr">
        <is>
          <t>[ 수익성 지표 ]</t>
        </is>
      </c>
    </row>
    <row r="4">
      <c r="A4" s="6" t="inlineStr">
        <is>
          <t>매출총이익률</t>
        </is>
      </c>
      <c r="B4" s="7" t="inlineStr">
        <is>
          <t>2023</t>
        </is>
      </c>
      <c r="C4" s="7" t="inlineStr">
        <is>
          <t>2024</t>
        </is>
      </c>
      <c r="D4" s="7" t="inlineStr">
        <is>
          <t>2025</t>
        </is>
      </c>
    </row>
    <row r="5">
      <c r="A5" s="2" t="inlineStr">
        <is>
          <t>한국전력</t>
        </is>
      </c>
      <c r="B5" s="11">
        <f>IFERROR('원본데이터'!B8/'원본데이터'!B6,"-")</f>
        <v/>
      </c>
      <c r="C5" s="11">
        <f>IFERROR('원본데이터'!C8/'원본데이터'!C6,"-")</f>
        <v/>
      </c>
      <c r="D5" s="11">
        <f>IFERROR('원본데이터'!D8/'원본데이터'!D6,"-")</f>
        <v/>
      </c>
    </row>
    <row r="6">
      <c r="A6" s="2" t="inlineStr">
        <is>
          <t>LG에너지솔루션</t>
        </is>
      </c>
      <c r="B6" s="11">
        <f>IFERROR('원본데이터'!B24/'원본데이터'!B22,"-")</f>
        <v/>
      </c>
      <c r="C6" s="11">
        <f>IFERROR('원본데이터'!C24/'원본데이터'!C22,"-")</f>
        <v/>
      </c>
      <c r="D6" s="11">
        <f>IFERROR('원본데이터'!D24/'원본데이터'!D22,"-")</f>
        <v/>
      </c>
    </row>
    <row r="7">
      <c r="A7" s="2" t="inlineStr">
        <is>
          <t>HD현대</t>
        </is>
      </c>
      <c r="B7" s="11">
        <f>IFERROR('원본데이터'!B40/'원본데이터'!B38,"-")</f>
        <v/>
      </c>
      <c r="C7" s="11">
        <f>IFERROR('원본데이터'!C40/'원본데이터'!C38,"-")</f>
        <v/>
      </c>
      <c r="D7" s="11">
        <f>IFERROR('원본데이터'!D40/'원본데이터'!D38,"-")</f>
        <v/>
      </c>
    </row>
    <row r="9">
      <c r="A9" s="6" t="inlineStr">
        <is>
          <t>영업이익률</t>
        </is>
      </c>
      <c r="B9" s="7" t="inlineStr">
        <is>
          <t>2023</t>
        </is>
      </c>
      <c r="C9" s="7" t="inlineStr">
        <is>
          <t>2024</t>
        </is>
      </c>
      <c r="D9" s="7" t="inlineStr">
        <is>
          <t>2025</t>
        </is>
      </c>
    </row>
    <row r="10">
      <c r="A10" s="2" t="inlineStr">
        <is>
          <t>한국전력</t>
        </is>
      </c>
      <c r="B10" s="11">
        <f>IFERROR('원본데이터'!B9/'원본데이터'!B6,"-")</f>
        <v/>
      </c>
      <c r="C10" s="11">
        <f>IFERROR('원본데이터'!C9/'원본데이터'!C6,"-")</f>
        <v/>
      </c>
      <c r="D10" s="11">
        <f>IFERROR('원본데이터'!D9/'원본데이터'!D6,"-")</f>
        <v/>
      </c>
    </row>
    <row r="11">
      <c r="A11" s="2" t="inlineStr">
        <is>
          <t>LG에너지솔루션</t>
        </is>
      </c>
      <c r="B11" s="11">
        <f>IFERROR('원본데이터'!B25/'원본데이터'!B22,"-")</f>
        <v/>
      </c>
      <c r="C11" s="11">
        <f>IFERROR('원본데이터'!C25/'원본데이터'!C22,"-")</f>
        <v/>
      </c>
      <c r="D11" s="11">
        <f>IFERROR('원본데이터'!D25/'원본데이터'!D22,"-")</f>
        <v/>
      </c>
    </row>
    <row r="12">
      <c r="A12" s="2" t="inlineStr">
        <is>
          <t>HD현대</t>
        </is>
      </c>
      <c r="B12" s="11">
        <f>IFERROR('원본데이터'!B41/'원본데이터'!B38,"-")</f>
        <v/>
      </c>
      <c r="C12" s="11">
        <f>IFERROR('원본데이터'!C41/'원본데이터'!C38,"-")</f>
        <v/>
      </c>
      <c r="D12" s="11">
        <f>IFERROR('원본데이터'!D41/'원본데이터'!D38,"-")</f>
        <v/>
      </c>
    </row>
    <row r="14">
      <c r="A14" s="6" t="inlineStr">
        <is>
          <t>순이익률</t>
        </is>
      </c>
      <c r="B14" s="7" t="inlineStr">
        <is>
          <t>2023</t>
        </is>
      </c>
      <c r="C14" s="7" t="inlineStr">
        <is>
          <t>2024</t>
        </is>
      </c>
      <c r="D14" s="7" t="inlineStr">
        <is>
          <t>2025</t>
        </is>
      </c>
    </row>
    <row r="15">
      <c r="A15" s="2" t="inlineStr">
        <is>
          <t>한국전력</t>
        </is>
      </c>
      <c r="B15" s="11">
        <f>IFERROR('원본데이터'!B10/'원본데이터'!B6,"-")</f>
        <v/>
      </c>
      <c r="C15" s="11">
        <f>IFERROR('원본데이터'!C10/'원본데이터'!C6,"-")</f>
        <v/>
      </c>
      <c r="D15" s="11">
        <f>IFERROR('원본데이터'!D10/'원본데이터'!D6,"-")</f>
        <v/>
      </c>
    </row>
    <row r="16">
      <c r="A16" s="2" t="inlineStr">
        <is>
          <t>LG에너지솔루션</t>
        </is>
      </c>
      <c r="B16" s="11">
        <f>IFERROR('원본데이터'!B26/'원본데이터'!B22,"-")</f>
        <v/>
      </c>
      <c r="C16" s="11">
        <f>IFERROR('원본데이터'!C26/'원본데이터'!C22,"-")</f>
        <v/>
      </c>
      <c r="D16" s="11">
        <f>IFERROR('원본데이터'!D26/'원본데이터'!D22,"-")</f>
        <v/>
      </c>
    </row>
    <row r="17">
      <c r="A17" s="2" t="inlineStr">
        <is>
          <t>HD현대</t>
        </is>
      </c>
      <c r="B17" s="11">
        <f>IFERROR('원본데이터'!B42/'원본데이터'!B38,"-")</f>
        <v/>
      </c>
      <c r="C17" s="11">
        <f>IFERROR('원본데이터'!C42/'원본데이터'!C38,"-")</f>
        <v/>
      </c>
      <c r="D17" s="11">
        <f>IFERROR('원본데이터'!D42/'원본데이터'!D38,"-")</f>
        <v/>
      </c>
    </row>
    <row r="19">
      <c r="A19" s="6" t="inlineStr">
        <is>
          <t>ROA (총자산순이익률)</t>
        </is>
      </c>
      <c r="B19" s="7" t="inlineStr">
        <is>
          <t>2023</t>
        </is>
      </c>
      <c r="C19" s="7" t="inlineStr">
        <is>
          <t>2024</t>
        </is>
      </c>
      <c r="D19" s="7" t="inlineStr">
        <is>
          <t>2025</t>
        </is>
      </c>
    </row>
    <row r="20">
      <c r="A20" s="2" t="inlineStr">
        <is>
          <t>한국전력</t>
        </is>
      </c>
      <c r="B20" s="11">
        <f>IFERROR('원본데이터'!B10/'원본데이터'!B14,"-")</f>
        <v/>
      </c>
      <c r="C20" s="11">
        <f>IFERROR('원본데이터'!C10/'원본데이터'!C14,"-")</f>
        <v/>
      </c>
      <c r="D20" s="11">
        <f>IFERROR('원본데이터'!D10/'원본데이터'!D14,"-")</f>
        <v/>
      </c>
    </row>
    <row r="21">
      <c r="A21" s="2" t="inlineStr">
        <is>
          <t>LG에너지솔루션</t>
        </is>
      </c>
      <c r="B21" s="11">
        <f>IFERROR('원본데이터'!B26/'원본데이터'!B30,"-")</f>
        <v/>
      </c>
      <c r="C21" s="11">
        <f>IFERROR('원본데이터'!C26/'원본데이터'!C30,"-")</f>
        <v/>
      </c>
      <c r="D21" s="11">
        <f>IFERROR('원본데이터'!D26/'원본데이터'!D30,"-")</f>
        <v/>
      </c>
    </row>
    <row r="22">
      <c r="A22" s="2" t="inlineStr">
        <is>
          <t>HD현대</t>
        </is>
      </c>
      <c r="B22" s="11">
        <f>IFERROR('원본데이터'!B42/'원본데이터'!B46,"-")</f>
        <v/>
      </c>
      <c r="C22" s="11">
        <f>IFERROR('원본데이터'!C42/'원본데이터'!C46,"-")</f>
        <v/>
      </c>
      <c r="D22" s="11">
        <f>IFERROR('원본데이터'!D42/'원본데이터'!D46,"-")</f>
        <v/>
      </c>
    </row>
    <row r="24">
      <c r="A24" s="6" t="inlineStr">
        <is>
          <t>ROE (자기자본순이익률)</t>
        </is>
      </c>
      <c r="B24" s="7" t="inlineStr">
        <is>
          <t>2023</t>
        </is>
      </c>
      <c r="C24" s="7" t="inlineStr">
        <is>
          <t>2024</t>
        </is>
      </c>
      <c r="D24" s="7" t="inlineStr">
        <is>
          <t>2025</t>
        </is>
      </c>
    </row>
    <row r="25">
      <c r="A25" s="2" t="inlineStr">
        <is>
          <t>한국전력</t>
        </is>
      </c>
      <c r="B25" s="11">
        <f>IFERROR('원본데이터'!B10/'원본데이터'!B16,"-")</f>
        <v/>
      </c>
      <c r="C25" s="11">
        <f>IFERROR('원본데이터'!C10/'원본데이터'!C16,"-")</f>
        <v/>
      </c>
      <c r="D25" s="11">
        <f>IFERROR('원본데이터'!D10/'원본데이터'!D16,"-")</f>
        <v/>
      </c>
    </row>
    <row r="26">
      <c r="A26" s="2" t="inlineStr">
        <is>
          <t>LG에너지솔루션</t>
        </is>
      </c>
      <c r="B26" s="11">
        <f>IFERROR('원본데이터'!B26/'원본데이터'!B32,"-")</f>
        <v/>
      </c>
      <c r="C26" s="11">
        <f>IFERROR('원본데이터'!C26/'원본데이터'!C32,"-")</f>
        <v/>
      </c>
      <c r="D26" s="11">
        <f>IFERROR('원본데이터'!D26/'원본데이터'!D32,"-")</f>
        <v/>
      </c>
    </row>
    <row r="27">
      <c r="A27" s="2" t="inlineStr">
        <is>
          <t>HD현대</t>
        </is>
      </c>
      <c r="B27" s="11">
        <f>IFERROR('원본데이터'!B42/'원본데이터'!B48,"-")</f>
        <v/>
      </c>
      <c r="C27" s="11">
        <f>IFERROR('원본데이터'!C42/'원본데이터'!C48,"-")</f>
        <v/>
      </c>
      <c r="D27" s="11">
        <f>IFERROR('원본데이터'!D42/'원본데이터'!D48,"-")</f>
        <v/>
      </c>
    </row>
    <row r="29">
      <c r="A29" s="10" t="inlineStr">
        <is>
          <t>[ 안정성 지표 ]</t>
        </is>
      </c>
    </row>
    <row r="30">
      <c r="A30" s="6" t="inlineStr">
        <is>
          <t>부채비율</t>
        </is>
      </c>
      <c r="B30" s="7" t="inlineStr">
        <is>
          <t>2023</t>
        </is>
      </c>
      <c r="C30" s="7" t="inlineStr">
        <is>
          <t>2024</t>
        </is>
      </c>
      <c r="D30" s="7" t="inlineStr">
        <is>
          <t>2025</t>
        </is>
      </c>
    </row>
    <row r="31">
      <c r="A31" s="2" t="inlineStr">
        <is>
          <t>한국전력</t>
        </is>
      </c>
      <c r="B31" s="11">
        <f>IFERROR('원본데이터'!B15/'원본데이터'!B16,"-")</f>
        <v/>
      </c>
      <c r="C31" s="11">
        <f>IFERROR('원본데이터'!C15/'원본데이터'!C16,"-")</f>
        <v/>
      </c>
      <c r="D31" s="11">
        <f>IFERROR('원본데이터'!D15/'원본데이터'!D16,"-")</f>
        <v/>
      </c>
    </row>
    <row r="32">
      <c r="A32" s="2" t="inlineStr">
        <is>
          <t>LG에너지솔루션</t>
        </is>
      </c>
      <c r="B32" s="11">
        <f>IFERROR('원본데이터'!B31/'원본데이터'!B32,"-")</f>
        <v/>
      </c>
      <c r="C32" s="11">
        <f>IFERROR('원본데이터'!C31/'원본데이터'!C32,"-")</f>
        <v/>
      </c>
      <c r="D32" s="11">
        <f>IFERROR('원본데이터'!D31/'원본데이터'!D32,"-")</f>
        <v/>
      </c>
    </row>
    <row r="33">
      <c r="A33" s="2" t="inlineStr">
        <is>
          <t>HD현대</t>
        </is>
      </c>
      <c r="B33" s="11">
        <f>IFERROR('원본데이터'!B47/'원본데이터'!B48,"-")</f>
        <v/>
      </c>
      <c r="C33" s="11">
        <f>IFERROR('원본데이터'!C47/'원본데이터'!C48,"-")</f>
        <v/>
      </c>
      <c r="D33" s="11">
        <f>IFERROR('원본데이터'!D47/'원본데이터'!D48,"-")</f>
        <v/>
      </c>
    </row>
    <row r="35">
      <c r="A35" s="6" t="inlineStr">
        <is>
          <t>유동비율</t>
        </is>
      </c>
      <c r="B35" s="7" t="inlineStr">
        <is>
          <t>2023</t>
        </is>
      </c>
      <c r="C35" s="7" t="inlineStr">
        <is>
          <t>2024</t>
        </is>
      </c>
      <c r="D35" s="7" t="inlineStr">
        <is>
          <t>2025</t>
        </is>
      </c>
    </row>
    <row r="36">
      <c r="A36" s="2" t="inlineStr">
        <is>
          <t>한국전력</t>
        </is>
      </c>
      <c r="B36" s="11">
        <f>IFERROR('원본데이터'!B11/'원본데이터'!B13,"-")</f>
        <v/>
      </c>
      <c r="C36" s="11">
        <f>IFERROR('원본데이터'!C11/'원본데이터'!C13,"-")</f>
        <v/>
      </c>
      <c r="D36" s="11">
        <f>IFERROR('원본데이터'!D11/'원본데이터'!D13,"-")</f>
        <v/>
      </c>
    </row>
    <row r="37">
      <c r="A37" s="2" t="inlineStr">
        <is>
          <t>LG에너지솔루션</t>
        </is>
      </c>
      <c r="B37" s="11">
        <f>IFERROR('원본데이터'!B27/'원본데이터'!B29,"-")</f>
        <v/>
      </c>
      <c r="C37" s="11">
        <f>IFERROR('원본데이터'!C27/'원본데이터'!C29,"-")</f>
        <v/>
      </c>
      <c r="D37" s="11">
        <f>IFERROR('원본데이터'!D27/'원본데이터'!D29,"-")</f>
        <v/>
      </c>
    </row>
    <row r="38">
      <c r="A38" s="2" t="inlineStr">
        <is>
          <t>HD현대</t>
        </is>
      </c>
      <c r="B38" s="11">
        <f>IFERROR('원본데이터'!B43/'원본데이터'!B45,"-")</f>
        <v/>
      </c>
      <c r="C38" s="11">
        <f>IFERROR('원본데이터'!C43/'원본데이터'!C45,"-")</f>
        <v/>
      </c>
      <c r="D38" s="11">
        <f>IFERROR('원본데이터'!D43/'원본데이터'!D45,"-")</f>
        <v/>
      </c>
    </row>
    <row r="40">
      <c r="A40" s="6" t="inlineStr">
        <is>
          <t>자기자본비율</t>
        </is>
      </c>
      <c r="B40" s="7" t="inlineStr">
        <is>
          <t>2023</t>
        </is>
      </c>
      <c r="C40" s="7" t="inlineStr">
        <is>
          <t>2024</t>
        </is>
      </c>
      <c r="D40" s="7" t="inlineStr">
        <is>
          <t>2025</t>
        </is>
      </c>
    </row>
    <row r="41">
      <c r="A41" s="2" t="inlineStr">
        <is>
          <t>한국전력</t>
        </is>
      </c>
      <c r="B41" s="11">
        <f>IFERROR('원본데이터'!B16/'원본데이터'!B14,"-")</f>
        <v/>
      </c>
      <c r="C41" s="11">
        <f>IFERROR('원본데이터'!C16/'원본데이터'!C14,"-")</f>
        <v/>
      </c>
      <c r="D41" s="11">
        <f>IFERROR('원본데이터'!D16/'원본데이터'!D14,"-")</f>
        <v/>
      </c>
    </row>
    <row r="42">
      <c r="A42" s="2" t="inlineStr">
        <is>
          <t>LG에너지솔루션</t>
        </is>
      </c>
      <c r="B42" s="11">
        <f>IFERROR('원본데이터'!B32/'원본데이터'!B30,"-")</f>
        <v/>
      </c>
      <c r="C42" s="11">
        <f>IFERROR('원본데이터'!C32/'원본데이터'!C30,"-")</f>
        <v/>
      </c>
      <c r="D42" s="11">
        <f>IFERROR('원본데이터'!D32/'원본데이터'!D30,"-")</f>
        <v/>
      </c>
    </row>
    <row r="43">
      <c r="A43" s="2" t="inlineStr">
        <is>
          <t>HD현대</t>
        </is>
      </c>
      <c r="B43" s="11">
        <f>IFERROR('원본데이터'!B48/'원본데이터'!B46,"-")</f>
        <v/>
      </c>
      <c r="C43" s="11">
        <f>IFERROR('원본데이터'!C48/'원본데이터'!C46,"-")</f>
        <v/>
      </c>
      <c r="D43" s="11">
        <f>IFERROR('원본데이터'!D48/'원본데이터'!D46,"-")</f>
        <v/>
      </c>
    </row>
    <row r="45">
      <c r="A45" s="10" t="inlineStr">
        <is>
          <t>[ 배당 지표 ]</t>
        </is>
      </c>
    </row>
    <row r="46">
      <c r="A46" s="6" t="inlineStr">
        <is>
          <t>배당성향</t>
        </is>
      </c>
      <c r="B46" s="7" t="inlineStr">
        <is>
          <t>2023</t>
        </is>
      </c>
      <c r="C46" s="7" t="inlineStr">
        <is>
          <t>2024</t>
        </is>
      </c>
      <c r="D46" s="7" t="inlineStr">
        <is>
          <t>2025</t>
        </is>
      </c>
    </row>
    <row r="47">
      <c r="A47" s="2" t="inlineStr">
        <is>
          <t>한국전력</t>
        </is>
      </c>
      <c r="B47" s="11">
        <f>IFERROR('원본데이터'!B17/'원본데이터'!B10,"-")</f>
        <v/>
      </c>
      <c r="C47" s="11">
        <f>IFERROR('원본데이터'!C17/'원본데이터'!C10,"-")</f>
        <v/>
      </c>
      <c r="D47" s="11">
        <f>IFERROR('원본데이터'!D17/'원본데이터'!D10,"-")</f>
        <v/>
      </c>
    </row>
    <row r="48">
      <c r="A48" s="2" t="inlineStr">
        <is>
          <t>LG에너지솔루션</t>
        </is>
      </c>
      <c r="B48" s="11">
        <f>IFERROR('원본데이터'!B33/'원본데이터'!B26,"-")</f>
        <v/>
      </c>
      <c r="C48" s="11">
        <f>IFERROR('원본데이터'!C33/'원본데이터'!C26,"-")</f>
        <v/>
      </c>
      <c r="D48" s="11">
        <f>IFERROR('원본데이터'!D33/'원본데이터'!D26,"-")</f>
        <v/>
      </c>
    </row>
    <row r="49">
      <c r="A49" s="2" t="inlineStr">
        <is>
          <t>HD현대</t>
        </is>
      </c>
      <c r="B49" s="11">
        <f>IFERROR('원본데이터'!B49/'원본데이터'!B42,"-")</f>
        <v/>
      </c>
      <c r="C49" s="11">
        <f>IFERROR('원본데이터'!C49/'원본데이터'!C42,"-")</f>
        <v/>
      </c>
      <c r="D49" s="11">
        <f>IFERROR('원본데이터'!D49/'원본데이터'!D42,"-")</f>
        <v/>
      </c>
    </row>
    <row r="51">
      <c r="A51" s="10" t="inlineStr">
        <is>
          <t>[ 성장성 지표 (전년 대비 증가율) ]</t>
        </is>
      </c>
    </row>
    <row r="52">
      <c r="A52" s="6" t="inlineStr">
        <is>
          <t>매출액증가율</t>
        </is>
      </c>
      <c r="B52" s="7" t="inlineStr">
        <is>
          <t>2023</t>
        </is>
      </c>
      <c r="C52" s="7" t="inlineStr">
        <is>
          <t>2024</t>
        </is>
      </c>
      <c r="D52" s="7" t="inlineStr">
        <is>
          <t>2025</t>
        </is>
      </c>
    </row>
    <row r="53">
      <c r="A53" s="2" t="inlineStr">
        <is>
          <t>한국전력</t>
        </is>
      </c>
      <c r="B53" s="12" t="inlineStr">
        <is>
          <t>N/A</t>
        </is>
      </c>
      <c r="C53" s="11">
        <f>IFERROR(('원본데이터'!C6-'원본데이터'!B6)/'원본데이터'!B6,"-")</f>
        <v/>
      </c>
      <c r="D53" s="11">
        <f>IFERROR(('원본데이터'!D6-'원본데이터'!C6)/'원본데이터'!C6,"-")</f>
        <v/>
      </c>
    </row>
    <row r="54">
      <c r="A54" s="2" t="inlineStr">
        <is>
          <t>LG에너지솔루션</t>
        </is>
      </c>
      <c r="B54" s="12" t="inlineStr">
        <is>
          <t>N/A</t>
        </is>
      </c>
      <c r="C54" s="11">
        <f>IFERROR(('원본데이터'!C22-'원본데이터'!B22)/'원본데이터'!B22,"-")</f>
        <v/>
      </c>
      <c r="D54" s="11">
        <f>IFERROR(('원본데이터'!D22-'원본데이터'!C22)/'원본데이터'!C22,"-")</f>
        <v/>
      </c>
    </row>
    <row r="55">
      <c r="A55" s="2" t="inlineStr">
        <is>
          <t>HD현대</t>
        </is>
      </c>
      <c r="B55" s="12" t="inlineStr">
        <is>
          <t>N/A</t>
        </is>
      </c>
      <c r="C55" s="11">
        <f>IFERROR(('원본데이터'!C38-'원본데이터'!B38)/'원본데이터'!B38,"-")</f>
        <v/>
      </c>
      <c r="D55" s="11">
        <f>IFERROR(('원본데이터'!D38-'원본데이터'!C38)/'원본데이터'!C38,"-")</f>
        <v/>
      </c>
    </row>
    <row r="57">
      <c r="A57" s="6" t="inlineStr">
        <is>
          <t>영업이익증가율</t>
        </is>
      </c>
      <c r="B57" s="7" t="inlineStr">
        <is>
          <t>2023</t>
        </is>
      </c>
      <c r="C57" s="7" t="inlineStr">
        <is>
          <t>2024</t>
        </is>
      </c>
      <c r="D57" s="7" t="inlineStr">
        <is>
          <t>2025</t>
        </is>
      </c>
    </row>
    <row r="58">
      <c r="A58" s="2" t="inlineStr">
        <is>
          <t>한국전력</t>
        </is>
      </c>
      <c r="B58" s="12" t="inlineStr">
        <is>
          <t>N/A</t>
        </is>
      </c>
      <c r="C58" s="11">
        <f>IFERROR(('원본데이터'!C9-'원본데이터'!B9)/'원본데이터'!B9,"-")</f>
        <v/>
      </c>
      <c r="D58" s="11">
        <f>IFERROR(('원본데이터'!D9-'원본데이터'!C9)/'원본데이터'!C9,"-")</f>
        <v/>
      </c>
    </row>
    <row r="59">
      <c r="A59" s="2" t="inlineStr">
        <is>
          <t>LG에너지솔루션</t>
        </is>
      </c>
      <c r="B59" s="12" t="inlineStr">
        <is>
          <t>N/A</t>
        </is>
      </c>
      <c r="C59" s="11">
        <f>IFERROR(('원본데이터'!C25-'원본데이터'!B25)/'원본데이터'!B25,"-")</f>
        <v/>
      </c>
      <c r="D59" s="11">
        <f>IFERROR(('원본데이터'!D25-'원본데이터'!C25)/'원본데이터'!C25,"-")</f>
        <v/>
      </c>
    </row>
    <row r="60">
      <c r="A60" s="2" t="inlineStr">
        <is>
          <t>HD현대</t>
        </is>
      </c>
      <c r="B60" s="12" t="inlineStr">
        <is>
          <t>N/A</t>
        </is>
      </c>
      <c r="C60" s="11">
        <f>IFERROR(('원본데이터'!C41-'원본데이터'!B41)/'원본데이터'!B41,"-")</f>
        <v/>
      </c>
      <c r="D60" s="11">
        <f>IFERROR(('원본데이터'!D41-'원본데이터'!C41)/'원본데이터'!C41,"-")</f>
        <v/>
      </c>
    </row>
    <row r="62">
      <c r="A62" s="6" t="inlineStr">
        <is>
          <t>순이익증가율</t>
        </is>
      </c>
      <c r="B62" s="7" t="inlineStr">
        <is>
          <t>2023</t>
        </is>
      </c>
      <c r="C62" s="7" t="inlineStr">
        <is>
          <t>2024</t>
        </is>
      </c>
      <c r="D62" s="7" t="inlineStr">
        <is>
          <t>2025</t>
        </is>
      </c>
    </row>
    <row r="63">
      <c r="A63" s="2" t="inlineStr">
        <is>
          <t>한국전력</t>
        </is>
      </c>
      <c r="B63" s="12" t="inlineStr">
        <is>
          <t>N/A</t>
        </is>
      </c>
      <c r="C63" s="11">
        <f>IFERROR(('원본데이터'!C10-'원본데이터'!B10)/'원본데이터'!B10,"-")</f>
        <v/>
      </c>
      <c r="D63" s="11">
        <f>IFERROR(('원본데이터'!D10-'원본데이터'!C10)/'원본데이터'!C10,"-")</f>
        <v/>
      </c>
    </row>
    <row r="64">
      <c r="A64" s="2" t="inlineStr">
        <is>
          <t>LG에너지솔루션</t>
        </is>
      </c>
      <c r="B64" s="12" t="inlineStr">
        <is>
          <t>N/A</t>
        </is>
      </c>
      <c r="C64" s="11">
        <f>IFERROR(('원본데이터'!C26-'원본데이터'!B26)/'원본데이터'!B26,"-")</f>
        <v/>
      </c>
      <c r="D64" s="11">
        <f>IFERROR(('원본데이터'!D26-'원본데이터'!C26)/'원본데이터'!C26,"-")</f>
        <v/>
      </c>
    </row>
    <row r="65">
      <c r="A65" s="2" t="inlineStr">
        <is>
          <t>HD현대</t>
        </is>
      </c>
      <c r="B65" s="12" t="inlineStr">
        <is>
          <t>N/A</t>
        </is>
      </c>
      <c r="C65" s="11">
        <f>IFERROR(('원본데이터'!C42-'원본데이터'!B42)/'원본데이터'!B42,"-")</f>
        <v/>
      </c>
      <c r="D65" s="11">
        <f>IFERROR(('원본데이터'!D42-'원본데이터'!C42)/'원본데이터'!C42,"-")</f>
        <v/>
      </c>
    </row>
    <row r="67">
      <c r="A67" s="6" t="inlineStr">
        <is>
          <t>총자산증가율</t>
        </is>
      </c>
      <c r="B67" s="7" t="inlineStr">
        <is>
          <t>2023</t>
        </is>
      </c>
      <c r="C67" s="7" t="inlineStr">
        <is>
          <t>2024</t>
        </is>
      </c>
      <c r="D67" s="7" t="inlineStr">
        <is>
          <t>2025</t>
        </is>
      </c>
    </row>
    <row r="68">
      <c r="A68" s="2" t="inlineStr">
        <is>
          <t>한국전력</t>
        </is>
      </c>
      <c r="B68" s="12" t="inlineStr">
        <is>
          <t>N/A</t>
        </is>
      </c>
      <c r="C68" s="11">
        <f>IFERROR(('원본데이터'!C14-'원본데이터'!B14)/'원본데이터'!B14,"-")</f>
        <v/>
      </c>
      <c r="D68" s="11">
        <f>IFERROR(('원본데이터'!D14-'원본데이터'!C14)/'원본데이터'!C14,"-")</f>
        <v/>
      </c>
    </row>
    <row r="69">
      <c r="A69" s="2" t="inlineStr">
        <is>
          <t>LG에너지솔루션</t>
        </is>
      </c>
      <c r="B69" s="12" t="inlineStr">
        <is>
          <t>N/A</t>
        </is>
      </c>
      <c r="C69" s="11">
        <f>IFERROR(('원본데이터'!C30-'원본데이터'!B30)/'원본데이터'!B30,"-")</f>
        <v/>
      </c>
      <c r="D69" s="11">
        <f>IFERROR(('원본데이터'!D30-'원본데이터'!C30)/'원본데이터'!C30,"-")</f>
        <v/>
      </c>
    </row>
    <row r="70">
      <c r="A70" s="2" t="inlineStr">
        <is>
          <t>HD현대</t>
        </is>
      </c>
      <c r="B70" s="12" t="inlineStr">
        <is>
          <t>N/A</t>
        </is>
      </c>
      <c r="C70" s="11">
        <f>IFERROR(('원본데이터'!C46-'원본데이터'!B46)/'원본데이터'!B46,"-")</f>
        <v/>
      </c>
      <c r="D70" s="11">
        <f>IFERROR(('원본데이터'!D46-'원본데이터'!C46)/'원본데이터'!C46,"-")</f>
        <v/>
      </c>
    </row>
  </sheetData>
  <mergeCells count="5">
    <mergeCell ref="A45:D45"/>
    <mergeCell ref="A1:D1"/>
    <mergeCell ref="A3:D3"/>
    <mergeCell ref="A29:D29"/>
    <mergeCell ref="A51:D5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4" customWidth="1" min="5" max="5"/>
    <col width="16" customWidth="1" min="6" max="6"/>
    <col width="12" customWidth="1" min="7" max="7"/>
    <col width="12" customWidth="1" min="8" max="8"/>
  </cols>
  <sheetData>
    <row r="1">
      <c r="A1" s="1" t="inlineStr">
        <is>
          <t>3개 기업 재무비교 대시보드 (한국전력 / LG에너지솔루션 / HD현대)</t>
        </is>
      </c>
    </row>
    <row r="2">
      <c r="A2" s="5" t="inlineStr">
        <is>
          <t>기준: 2023~2025 사업보고서 (연결재무제표 기준, DART Open API)</t>
        </is>
      </c>
    </row>
    <row r="55">
      <c r="A55" s="10" t="inlineStr">
        <is>
          <t>■ 2025년 요약 스코어카드</t>
        </is>
      </c>
    </row>
    <row r="56" ht="30" customHeight="1">
      <c r="A56" s="6" t="inlineStr">
        <is>
          <t>회사명</t>
        </is>
      </c>
      <c r="B56" s="13" t="inlineStr">
        <is>
          <t>영업이익률</t>
        </is>
      </c>
      <c r="C56" s="13" t="inlineStr">
        <is>
          <t>순이익률</t>
        </is>
      </c>
      <c r="D56" s="13" t="inlineStr">
        <is>
          <t>ROE (자기자본순이익률)</t>
        </is>
      </c>
      <c r="E56" s="13" t="inlineStr">
        <is>
          <t>부채비율</t>
        </is>
      </c>
      <c r="F56" s="13" t="inlineStr">
        <is>
          <t>유동비율</t>
        </is>
      </c>
      <c r="G56" s="13" t="inlineStr">
        <is>
          <t>배당성향</t>
        </is>
      </c>
      <c r="H56" s="13" t="inlineStr">
        <is>
          <t>매출액증가율</t>
        </is>
      </c>
    </row>
    <row r="57">
      <c r="A57" s="2" t="inlineStr">
        <is>
          <t>한국전력</t>
        </is>
      </c>
      <c r="B57" s="11">
        <f>'비교분석'!D10</f>
        <v/>
      </c>
      <c r="C57" s="11">
        <f>'비교분석'!D15</f>
        <v/>
      </c>
      <c r="D57" s="11">
        <f>'비교분석'!D25</f>
        <v/>
      </c>
      <c r="E57" s="11">
        <f>'비교분석'!D31</f>
        <v/>
      </c>
      <c r="F57" s="11">
        <f>'비교분석'!D36</f>
        <v/>
      </c>
      <c r="G57" s="11">
        <f>'비교분석'!D47</f>
        <v/>
      </c>
      <c r="H57" s="11">
        <f>'비교분석'!D53</f>
        <v/>
      </c>
    </row>
    <row r="58">
      <c r="A58" s="2" t="inlineStr">
        <is>
          <t>LG에너지솔루션</t>
        </is>
      </c>
      <c r="B58" s="11">
        <f>'비교분석'!D11</f>
        <v/>
      </c>
      <c r="C58" s="11">
        <f>'비교분석'!D16</f>
        <v/>
      </c>
      <c r="D58" s="11">
        <f>'비교분석'!D26</f>
        <v/>
      </c>
      <c r="E58" s="11">
        <f>'비교분석'!D32</f>
        <v/>
      </c>
      <c r="F58" s="11">
        <f>'비교분석'!D37</f>
        <v/>
      </c>
      <c r="G58" s="11">
        <f>'비교분석'!D48</f>
        <v/>
      </c>
      <c r="H58" s="11">
        <f>'비교분석'!D54</f>
        <v/>
      </c>
    </row>
    <row r="59">
      <c r="A59" s="2" t="inlineStr">
        <is>
          <t>HD현대</t>
        </is>
      </c>
      <c r="B59" s="11">
        <f>'비교분석'!D12</f>
        <v/>
      </c>
      <c r="C59" s="11">
        <f>'비교분석'!D17</f>
        <v/>
      </c>
      <c r="D59" s="11">
        <f>'비교분석'!D27</f>
        <v/>
      </c>
      <c r="E59" s="11">
        <f>'비교분석'!D33</f>
        <v/>
      </c>
      <c r="F59" s="11">
        <f>'비교분석'!D38</f>
        <v/>
      </c>
      <c r="G59" s="11">
        <f>'비교분석'!D49</f>
        <v/>
      </c>
      <c r="H59" s="11">
        <f>'비교분석'!D55</f>
        <v/>
      </c>
    </row>
    <row r="61">
      <c r="A61" s="5" t="inlineStr">
        <is>
          <t>※ 배당성향이 '-'로 표시된 경우 해당 연도 배당을 실시하지 않았거나 DART 공시에 항목이 없는 경우입니다 (예: LG에너지솔루션).</t>
        </is>
      </c>
    </row>
  </sheetData>
  <mergeCells count="4">
    <mergeCell ref="A2:H2"/>
    <mergeCell ref="A61:H61"/>
    <mergeCell ref="A55:H55"/>
    <mergeCell ref="A1:H1"/>
  </mergeCells>
  <conditionalFormatting sqref="B57:B5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7:C5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57:E5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7:G5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7:H5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2026-07-11T06:27:20Z</dcterms:created>
  <dcterms:modified xsi:type="dcterms:W3CDTF">2026-07-11T06:28:25Z</dcterms:modified>
</cp:coreProperties>
</file>
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3993c88ae1700cf/바탕 화면/6주 과정/financial-comparison-analyzer/scripts/"/>
    </mc:Choice>
  </mc:AlternateContent>
  <xr:revisionPtr revIDLastSave="0" documentId="11_E71AFB4EC17B70BAC5F132B39EA63C3062E798D6" xr6:coauthVersionLast="47" xr6:coauthVersionMax="47" xr10:uidLastSave="{00000000-0000-0000-0000-000000000000}"/>
  <bookViews>
    <workbookView xWindow="6348" yWindow="1596" windowWidth="14028" windowHeight="10140" xr2:uid="{00000000-000D-0000-FFFF-FFFF00000000}"/>
  </bookViews>
  <sheets>
    <sheet name="사용안내" sheetId="1" r:id="rId1"/>
    <sheet name="원본데이터" sheetId="2" r:id="rId2"/>
    <sheet name="비교분석" sheetId="3" r:id="rId3"/>
    <sheet name="대시보드" sheetId="4" r:id="rId4"/>
    <sheet name="분리과세판정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2" i="5" l="1"/>
  <c r="E43" i="5" s="1"/>
  <c r="E44" i="5" s="1"/>
  <c r="B14" i="5" s="1"/>
  <c r="E41" i="5"/>
  <c r="E33" i="5"/>
  <c r="E32" i="5"/>
  <c r="E31" i="5"/>
  <c r="E23" i="5"/>
  <c r="E22" i="5"/>
  <c r="E21" i="5"/>
  <c r="D64" i="3"/>
  <c r="C64" i="3"/>
  <c r="D63" i="3"/>
  <c r="C63" i="3"/>
  <c r="D62" i="3"/>
  <c r="C62" i="3"/>
  <c r="D59" i="3"/>
  <c r="C59" i="3"/>
  <c r="D58" i="3"/>
  <c r="C58" i="3"/>
  <c r="D57" i="3"/>
  <c r="C57" i="3"/>
  <c r="D54" i="3"/>
  <c r="C54" i="3"/>
  <c r="D53" i="3"/>
  <c r="C53" i="3"/>
  <c r="D52" i="3"/>
  <c r="C52" i="3"/>
  <c r="D49" i="3"/>
  <c r="G59" i="4" s="1"/>
  <c r="C49" i="3"/>
  <c r="D48" i="3"/>
  <c r="G58" i="4" s="1"/>
  <c r="C48" i="3"/>
  <c r="D47" i="3"/>
  <c r="G57" i="4" s="1"/>
  <c r="C47" i="3"/>
  <c r="D43" i="3"/>
  <c r="C43" i="3"/>
  <c r="B43" i="3"/>
  <c r="D42" i="3"/>
  <c r="C42" i="3"/>
  <c r="B42" i="3"/>
  <c r="D41" i="3"/>
  <c r="C41" i="3"/>
  <c r="B41" i="3"/>
  <c r="D38" i="3"/>
  <c r="F59" i="4" s="1"/>
  <c r="C38" i="3"/>
  <c r="B38" i="3"/>
  <c r="D37" i="3"/>
  <c r="F58" i="4" s="1"/>
  <c r="C37" i="3"/>
  <c r="B37" i="3"/>
  <c r="D36" i="3"/>
  <c r="F57" i="4" s="1"/>
  <c r="C36" i="3"/>
  <c r="B36" i="3"/>
  <c r="D33" i="3"/>
  <c r="E59" i="4" s="1"/>
  <c r="C33" i="3"/>
  <c r="B33" i="3"/>
  <c r="D32" i="3"/>
  <c r="E58" i="4" s="1"/>
  <c r="C32" i="3"/>
  <c r="B32" i="3"/>
  <c r="D31" i="3"/>
  <c r="E57" i="4" s="1"/>
  <c r="C31" i="3"/>
  <c r="B31" i="3"/>
  <c r="D27" i="3"/>
  <c r="D59" i="4" s="1"/>
  <c r="C27" i="3"/>
  <c r="B27" i="3"/>
  <c r="D26" i="3"/>
  <c r="D58" i="4" s="1"/>
  <c r="C26" i="3"/>
  <c r="B26" i="3"/>
  <c r="D25" i="3"/>
  <c r="D57" i="4" s="1"/>
  <c r="C25" i="3"/>
  <c r="B25" i="3"/>
  <c r="D22" i="3"/>
  <c r="C22" i="3"/>
  <c r="B22" i="3"/>
  <c r="D21" i="3"/>
  <c r="C21" i="3"/>
  <c r="B21" i="3"/>
  <c r="D20" i="3"/>
  <c r="C20" i="3"/>
  <c r="B20" i="3"/>
  <c r="D17" i="3"/>
  <c r="C59" i="4" s="1"/>
  <c r="C17" i="3"/>
  <c r="B17" i="3"/>
  <c r="D16" i="3"/>
  <c r="C58" i="4" s="1"/>
  <c r="C16" i="3"/>
  <c r="B16" i="3"/>
  <c r="D15" i="3"/>
  <c r="C57" i="4" s="1"/>
  <c r="C15" i="3"/>
  <c r="B15" i="3"/>
  <c r="D12" i="3"/>
  <c r="B59" i="4" s="1"/>
  <c r="C12" i="3"/>
  <c r="B12" i="3"/>
  <c r="D11" i="3"/>
  <c r="B58" i="4" s="1"/>
  <c r="C11" i="3"/>
  <c r="B11" i="3"/>
  <c r="D10" i="3"/>
  <c r="B57" i="4" s="1"/>
  <c r="C10" i="3"/>
  <c r="B10" i="3"/>
  <c r="D7" i="3"/>
  <c r="D38" i="2"/>
  <c r="C38" i="2"/>
  <c r="C7" i="3" s="1"/>
  <c r="B38" i="2"/>
  <c r="B7" i="3" s="1"/>
  <c r="D23" i="2"/>
  <c r="D6" i="3" s="1"/>
  <c r="C23" i="2"/>
  <c r="C6" i="3" s="1"/>
  <c r="B23" i="2"/>
  <c r="B6" i="3" s="1"/>
  <c r="D8" i="2"/>
  <c r="D5" i="3" s="1"/>
  <c r="C8" i="2"/>
  <c r="C5" i="3" s="1"/>
  <c r="B8" i="2"/>
  <c r="B5" i="3" s="1"/>
  <c r="E24" i="5" l="1"/>
  <c r="B12" i="5" s="1"/>
  <c r="E34" i="5"/>
  <c r="B13" i="5" s="1"/>
</calcChain>
</file>

<file path=xl/sharedStrings.xml><?xml version="1.0" encoding="utf-8"?>
<sst xmlns="http://schemas.openxmlformats.org/spreadsheetml/2006/main" count="237" uniqueCount="81">
  <si>
    <t>3개 기업 재무제표 비교분석기 + 배당소득 분리과세 대상 판정</t>
  </si>
  <si>
    <t>1. 데이터 출처</t>
  </si>
  <si>
    <t xml:space="preserve">   - 금융감독원 전자공시시스템(DART) Open API (opendart.fss.or.kr)</t>
  </si>
  <si>
    <t xml:space="preserve">   - 재무제표: 각 기업 최신 사업보고서(연간) 기준 연결재무제표(CFS, 미제출 시 별도 OFS)</t>
  </si>
  <si>
    <t xml:space="preserve">   - 배당: DART '배당에 관한 사항(alotMatter)' 공시. 현금배당금총액과 기업이 직접 공시한 (연결)현금배당성향(%)을 함께 사용</t>
  </si>
  <si>
    <t>2. 이 파일의 구성</t>
  </si>
  <si>
    <t xml:space="preserve">   - 원본데이터   : 3개 기업 x 3개년 원본 재무제표 수치</t>
  </si>
  <si>
    <t xml:space="preserve">   - 비교분석     : 수익성/안정성/성장성 지표 자동 계산 비교</t>
  </si>
  <si>
    <t xml:space="preserve">   - 대시보드     : 추이 차트 및 최신연도 요약 스코어카드</t>
  </si>
  <si>
    <t xml:space="preserve">   - 분리과세판정 : 2026년 시행 예정 배당소득 분리과세 특례의 '고배당기업' 요건 충족 여부 추정</t>
  </si>
  <si>
    <t>3. 분리과세판정 시트 관련 중요 안내</t>
  </si>
  <si>
    <t xml:space="preserve">   - 이 시트는 조세특례제한법 제104조의27(고배당기업 주식 배당소득에 대한 과세특례, 2025.12.23. 신설,</t>
  </si>
  <si>
    <t xml:space="preserve">     국가법령정보센터 확인)의 요건을 그대로 반영했습니다. 다만 시행령 세부사항(공시방법 등)은 반영하지 못했습니다.</t>
  </si>
  <si>
    <t xml:space="preserve">   - 반드시 국세청(nts.go.kr)·기획재정부 공식 자료 또는 세무전문가 확인 후 실제 세무 판단에 활용하시기 바랍니다.</t>
  </si>
  <si>
    <t xml:space="preserve">   - 판정 대상은 '기업의 법인세'가 아니라, 그 기업으로부터 배당을 받는 개인 주주가 종합과세 대신</t>
  </si>
  <si>
    <t xml:space="preserve">     분리과세를 신청할 수 있는지 여부입니다.</t>
  </si>
  <si>
    <t>3개 기업 재무제표 원본 데이터 (단위: 원)</t>
  </si>
  <si>
    <t>■ 한국전력 (한국전력공사)</t>
  </si>
  <si>
    <t>출처: DART Open API, corp_code=00159193, 종목코드=015760, 사업연도=2025(사업보고서), 재무제표구분=CFS(연결)</t>
  </si>
  <si>
    <t>항목</t>
  </si>
  <si>
    <t>2023</t>
  </si>
  <si>
    <t>2024</t>
  </si>
  <si>
    <t>2025</t>
  </si>
  <si>
    <t>매출액</t>
  </si>
  <si>
    <t>매출원가</t>
  </si>
  <si>
    <t>매출총이익</t>
  </si>
  <si>
    <t>영업이익</t>
  </si>
  <si>
    <t>당기순이익</t>
  </si>
  <si>
    <t>유동자산</t>
  </si>
  <si>
    <t>재고자산</t>
  </si>
  <si>
    <t>유동부채</t>
  </si>
  <si>
    <t>자산총계</t>
  </si>
  <si>
    <t>부채총계</t>
  </si>
  <si>
    <t>자본총계</t>
  </si>
  <si>
    <t>■ 삼성전자 (삼성전자)</t>
  </si>
  <si>
    <t>출처: DART Open API, corp_code=00126380, 종목코드=005930, 사업연도=2025(사업보고서), 재무제표구분=CFS(연결)</t>
  </si>
  <si>
    <t>■ SK하이닉스 (SK하이닉스)</t>
  </si>
  <si>
    <t>출처: DART Open API, corp_code=00164779, 종목코드=000660, 사업연도=2025(사업보고서), 재무제표구분=CFS(연결)</t>
  </si>
  <si>
    <t>3개 기업 재무비율 비교분석</t>
  </si>
  <si>
    <t>[ 수익성 지표 ]</t>
  </si>
  <si>
    <t>매출총이익률</t>
  </si>
  <si>
    <t>한국전력</t>
  </si>
  <si>
    <t>삼성전자</t>
  </si>
  <si>
    <t>SK하이닉스</t>
  </si>
  <si>
    <t>영업이익률</t>
  </si>
  <si>
    <t>순이익률</t>
  </si>
  <si>
    <t>ROA (총자산순이익률)</t>
  </si>
  <si>
    <t>ROE (자기자본순이익률)</t>
  </si>
  <si>
    <t>[ 안정성 지표 ]</t>
  </si>
  <si>
    <t>부채비율</t>
  </si>
  <si>
    <t>유동비율</t>
  </si>
  <si>
    <t>자기자본비율</t>
  </si>
  <si>
    <t>[ 성장성 지표 (전년 대비 증가율) ]</t>
  </si>
  <si>
    <t>매출액증가율</t>
  </si>
  <si>
    <t>N/A</t>
  </si>
  <si>
    <t>영업이익증가율</t>
  </si>
  <si>
    <t>순이익증가율</t>
  </si>
  <si>
    <t>총자산증가율</t>
  </si>
  <si>
    <t>3개 기업 재무비교 대시보드 (한국전력 / 삼성전자 / SK하이닉스)</t>
  </si>
  <si>
    <t>기준: 2023~2025 사업보고서 (연결재무제표 기준, DART Open API)</t>
  </si>
  <si>
    <t>■ 2025년 요약 스코어카드</t>
  </si>
  <si>
    <t>회사명</t>
  </si>
  <si>
    <t>배당소득 분리과세 대상(고배당기업) 요건 판정</t>
  </si>
  <si>
    <t>조세특례제한법 제104조의27(고배당기업 주식 배당소득에 대한 과세특례, 2025.12.23. 신설) · 2026.1.1. 이후 지급 배당분부터 2028년까지 한시 적용</t>
  </si>
  <si>
    <t>⚠ 주의: 이 판정은 조세특례제한법 제104조의27 조문(국가법령정보센터, 2025.12.23. 신설)을 근거로 구성했으나, 시행령 세부사항은 반영하지 못했습니다.</t>
  </si>
  <si>
    <t xml:space="preserve">  - 요건(법조문): ① 직전 사업연도 배당소득이 2024사업연도보다 비감소, AND ② 직전 사업연도 배당성향 40% 이상 OR (배당성향 25% 이상 AND 전전사업연도 대비 배당금 10% 이상 증가)</t>
  </si>
  <si>
    <t xml:space="preserve">  - 배당성향은 각 기업이 DART에 직접 공시한 (연결)현금배당성향(%)을 사용합니다 (원본데이터 시트의 자체 계산 순이익 기준과 소수 오차 있을 수 있음).</t>
  </si>
  <si>
    <t xml:space="preserve">  - 코넥스 상장·투자회사 여부, 펀드/리츠/SPC 등 간접투자 제외 요건, 기업의 자체 요건 공시 여부는 확인하지 않았습니다.</t>
  </si>
  <si>
    <t xml:space="preserve">  - 세율: 2천만원 이하 14%, 2천만원초과~3억원 20%(누진), 3억원초과~50억원 25%(누진), 50억원초과 30%(누진) — 초안 발표 당시(35% 3단계)와 실제 신설 조문의 세율이 다르므로 확정 조문 기준으로 표기.</t>
  </si>
  <si>
    <t xml:space="preserve">  - 최종 판단은 국세청·기획재정부 공식 발표 또는 세무전문가 확인 후 하시기 바랍니다.</t>
  </si>
  <si>
    <t>■ 요약 판정 결과 (2025 사업연도 기준)</t>
  </si>
  <si>
    <t>출처: DART alotMatter 공시 (접수번호 20260317000686, 20250318000747)</t>
  </si>
  <si>
    <t>2022</t>
  </si>
  <si>
    <t>현금배당금총액(원)</t>
  </si>
  <si>
    <t>(연결)현금배당성향 [DART 공시]</t>
  </si>
  <si>
    <t>① 직전사업연도 배당, 2024사업연도 대비 비감소</t>
  </si>
  <si>
    <t>전전사업연도 대비 증가율</t>
  </si>
  <si>
    <t>② 배당성향 40%+ 또는 (25%+ 및 전전사업연도 대비 10%+ 증가)</t>
  </si>
  <si>
    <t>▶ 최종 판정 (①AND②, 추정)</t>
  </si>
  <si>
    <t>출처: DART alotMatter 공시 (접수번호 20260310002820, 20250311001085)</t>
  </si>
  <si>
    <t>출처: DART alotMatter 공시 (접수번호 20260317000635, 20250319000665)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</si>
</sst>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(#,##0\);\-"/>
    <numFmt numFmtId="177" formatCode="0.0%"/>
  </numFmts>
  <fonts count="10" x14ac:knownFonts="1">
    <font>
      <sz val="11"/>
      <color theme="1"/>
      <name val="맑은 고딕"/>
      <family val="2"/>
      <scheme val="minor"/>
    </font>
    <font>
      <b/>
      <sz val="14"/>
      <name val="Arial"/>
    </font>
    <font>
      <sz val="11"/>
      <color rgb="FF000000"/>
      <name val="Arial"/>
    </font>
    <font>
      <b/>
      <sz val="11"/>
      <name val="Arial"/>
    </font>
    <font>
      <b/>
      <sz val="11"/>
      <color rgb="FFFFFFFF"/>
      <name val="Arial"/>
    </font>
    <font>
      <i/>
      <sz val="11"/>
      <color rgb="FF808080"/>
      <name val="Arial"/>
    </font>
    <font>
      <sz val="11"/>
      <color rgb="FF0000FF"/>
      <name val="Arial"/>
    </font>
    <font>
      <b/>
      <sz val="11"/>
      <color rgb="FFC00000"/>
      <name val="Arial"/>
    </font>
    <font>
      <sz val="10.5"/>
      <color rgb="FF7F6000"/>
      <name val="Arial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203864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6" fillId="0" borderId="1" xfId="0" applyNumberFormat="1" applyFont="1" applyBorder="1"/>
    <xf numFmtId="176" fontId="2" fillId="0" borderId="1" xfId="0" applyNumberFormat="1" applyFont="1" applyBorder="1"/>
    <xf numFmtId="177" fontId="2" fillId="0" borderId="1" xfId="0" applyNumberFormat="1" applyFont="1" applyBorder="1"/>
    <xf numFmtId="0" fontId="0" fillId="0" borderId="1" xfId="0" applyBorder="1" applyAlignment="1">
      <alignment horizontal="center"/>
    </xf>
    <xf numFmtId="0" fontId="4" fillId="3" borderId="0" xfId="0" applyFont="1" applyFill="1" applyAlignment="1">
      <alignment horizontal="center" wrapText="1"/>
    </xf>
    <xf numFmtId="177" fontId="6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/>
    <xf numFmtId="0" fontId="1" fillId="0" borderId="0" xfId="0" applyFont="1"/>
    <xf numFmtId="0" fontId="0" fillId="0" borderId="0" xfId="0"/>
    <xf numFmtId="0" fontId="4" fillId="2" borderId="0" xfId="0" applyFont="1" applyFill="1"/>
    <xf numFmtId="0" fontId="5" fillId="0" borderId="0" xfId="0" applyFont="1"/>
    <xf numFmtId="0" fontId="3" fillId="4" borderId="0" xfId="0" applyFont="1" applyFill="1"/>
    <xf numFmtId="0" fontId="8" fillId="5" borderId="0" xfId="0" applyFont="1" applyFill="1" applyAlignment="1">
      <alignment vertical="top" wrapText="1"/>
    </xf>
    <xf numFmtId="0" fontId="3" fillId="0" borderId="0" xfId="0" applyFont="1"/>
    <xf numFmtId="0" fontId="7" fillId="5" borderId="0" xfId="0" applyFont="1" applyFill="1" applyAlignment="1">
      <alignment vertical="top" wrapText="1"/>
    </xf>
  </cellXfs>
  <cellStyles count="1">
    <cellStyle name="표준" xfId="0" builtinId="0"/>
  </cellStyles>
  <dxfs count="12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t>매출액 추이 (원)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한국전력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원본데이터!$B$5:$D$5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원본데이터!$B$6:$D$6</c:f>
              <c:numCache>
                <c:formatCode>#,##0;\(#,##0\);\-</c:formatCode>
                <c:ptCount val="3"/>
                <c:pt idx="0">
                  <c:v>88219461000000</c:v>
                </c:pt>
                <c:pt idx="1">
                  <c:v>93398896000000</c:v>
                </c:pt>
                <c:pt idx="2">
                  <c:v>97429346000000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D5-4EEB-8530-7EFC1C5BA99E}"/>
            </c:ext>
          </c:extLst>
        </c:ser>
        <c:ser>
          <c:idx val="1"/>
          <c:order val="1"/>
          <c:tx>
            <c:v>삼성전자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원본데이터!$B$5:$D$5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원본데이터!$B$21:$D$21</c:f>
              <c:numCache>
                <c:formatCode>#,##0;\(#,##0\);\-</c:formatCode>
                <c:ptCount val="3"/>
                <c:pt idx="0">
                  <c:v>258935494000000</c:v>
                </c:pt>
                <c:pt idx="1">
                  <c:v>300870903000000</c:v>
                </c:pt>
                <c:pt idx="2">
                  <c:v>333605938000000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D5-4EEB-8530-7EFC1C5BA99E}"/>
            </c:ext>
          </c:extLst>
        </c:ser>
        <c:ser>
          <c:idx val="2"/>
          <c:order val="2"/>
          <c:tx>
            <c:v>SK하이닉스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원본데이터!$B$5:$D$5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원본데이터!$B$36:$D$36</c:f>
              <c:numCache>
                <c:formatCode>#,##0;\(#,##0\);\-</c:formatCode>
                <c:ptCount val="3"/>
                <c:pt idx="0">
                  <c:v>32765719000000</c:v>
                </c:pt>
                <c:pt idx="1">
                  <c:v>66192960000000</c:v>
                </c:pt>
                <c:pt idx="2">
                  <c:v>97146675000000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D5-4EEB-8530-7EFC1C5BA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;\(#,##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t>영업이익 추이 (원)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한국전력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원본데이터!$B$5:$D$5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원본데이터!$B$9:$D$9</c:f>
              <c:numCache>
                <c:formatCode>#,##0;\(#,##0\);\-</c:formatCode>
                <c:ptCount val="3"/>
                <c:pt idx="0">
                  <c:v>-4541648000000</c:v>
                </c:pt>
                <c:pt idx="1">
                  <c:v>8364710000000</c:v>
                </c:pt>
                <c:pt idx="2">
                  <c:v>13490557000000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DF-491F-B8F9-C6406A1C5AD4}"/>
            </c:ext>
          </c:extLst>
        </c:ser>
        <c:ser>
          <c:idx val="1"/>
          <c:order val="1"/>
          <c:tx>
            <c:v>삼성전자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원본데이터!$B$5:$D$5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원본데이터!$B$24:$D$24</c:f>
              <c:numCache>
                <c:formatCode>#,##0;\(#,##0\);\-</c:formatCode>
                <c:ptCount val="3"/>
                <c:pt idx="0">
                  <c:v>6566976000000</c:v>
                </c:pt>
                <c:pt idx="1">
                  <c:v>32725961000000</c:v>
                </c:pt>
                <c:pt idx="2">
                  <c:v>43601051000000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DF-491F-B8F9-C6406A1C5AD4}"/>
            </c:ext>
          </c:extLst>
        </c:ser>
        <c:ser>
          <c:idx val="2"/>
          <c:order val="2"/>
          <c:tx>
            <c:v>SK하이닉스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원본데이터!$B$5:$D$5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원본데이터!$B$39:$D$39</c:f>
              <c:numCache>
                <c:formatCode>#,##0;\(#,##0\);\-</c:formatCode>
                <c:ptCount val="3"/>
                <c:pt idx="0">
                  <c:v>-7730313000000</c:v>
                </c:pt>
                <c:pt idx="1">
                  <c:v>23467319000000</c:v>
                </c:pt>
                <c:pt idx="2">
                  <c:v>47206319000000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DF-491F-B8F9-C6406A1C5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;\(#,##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t>당기순이익 추이 (원)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한국전력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원본데이터!$B$5:$D$5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원본데이터!$B$10:$D$10</c:f>
              <c:numCache>
                <c:formatCode>#,##0;\(#,##0\);\-</c:formatCode>
                <c:ptCount val="3"/>
                <c:pt idx="0">
                  <c:v>-4716144000000</c:v>
                </c:pt>
                <c:pt idx="1">
                  <c:v>3621968000000</c:v>
                </c:pt>
                <c:pt idx="2">
                  <c:v>8666656000000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B2-4E0E-834F-59F9DCAE8875}"/>
            </c:ext>
          </c:extLst>
        </c:ser>
        <c:ser>
          <c:idx val="1"/>
          <c:order val="1"/>
          <c:tx>
            <c:v>삼성전자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원본데이터!$B$5:$D$5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원본데이터!$B$25:$D$25</c:f>
              <c:numCache>
                <c:formatCode>#,##0;\(#,##0\);\-</c:formatCode>
                <c:ptCount val="3"/>
                <c:pt idx="0">
                  <c:v>15487100000000</c:v>
                </c:pt>
                <c:pt idx="1">
                  <c:v>34451351000000</c:v>
                </c:pt>
                <c:pt idx="2">
                  <c:v>45206805000000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B2-4E0E-834F-59F9DCAE8875}"/>
            </c:ext>
          </c:extLst>
        </c:ser>
        <c:ser>
          <c:idx val="2"/>
          <c:order val="2"/>
          <c:tx>
            <c:v>SK하이닉스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원본데이터!$B$5:$D$5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원본데이터!$B$40:$D$40</c:f>
              <c:numCache>
                <c:formatCode>#,##0;\(#,##0\);\-</c:formatCode>
                <c:ptCount val="3"/>
                <c:pt idx="0">
                  <c:v>-9137547000000</c:v>
                </c:pt>
                <c:pt idx="1">
                  <c:v>19796902000000</c:v>
                </c:pt>
                <c:pt idx="2">
                  <c:v>42947902000000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B2-4E0E-834F-59F9DCAE8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;\(#,##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10"/>
  <c:chart>
    <c:title>
      <c:tx>
        <c:rich>
          <a:bodyPr/>
          <a:lstStyle/>
          <a:p>
            <a:pPr>
              <a:defRPr/>
            </a:pPr>
            <a:r>
              <a:t>ROE 비교 (%)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한국전력</c:v>
          </c:tx>
          <c:spPr>
            <a:ln>
              <a:prstDash val="solid"/>
            </a:ln>
          </c:spPr>
          <c:invertIfNegative val="1"/>
          <c:cat>
            <c:strRef>
              <c:f>비교분석!$B$24:$D$24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비교분석!$B$25:$D$25</c:f>
              <c:numCache>
                <c:formatCode>0.0%</c:formatCode>
                <c:ptCount val="3"/>
                <c:pt idx="0">
                  <c:v>-0.12655777913443669</c:v>
                </c:pt>
                <c:pt idx="1">
                  <c:v>8.7565762238771216E-2</c:v>
                </c:pt>
                <c:pt idx="2">
                  <c:v>0.17571246355448694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A4-4FC1-A227-C2CFCBB2F193}"/>
            </c:ext>
          </c:extLst>
        </c:ser>
        <c:ser>
          <c:idx val="1"/>
          <c:order val="1"/>
          <c:tx>
            <c:v>삼성전자</c:v>
          </c:tx>
          <c:spPr>
            <a:ln>
              <a:prstDash val="solid"/>
            </a:ln>
          </c:spPr>
          <c:invertIfNegative val="1"/>
          <c:cat>
            <c:strRef>
              <c:f>비교분석!$B$24:$D$24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비교분석!$B$26:$D$26</c:f>
              <c:numCache>
                <c:formatCode>0.0%</c:formatCode>
                <c:ptCount val="3"/>
                <c:pt idx="0">
                  <c:v>4.2584664865429743E-2</c:v>
                </c:pt>
                <c:pt idx="1">
                  <c:v>8.565895145570622E-2</c:v>
                </c:pt>
                <c:pt idx="2">
                  <c:v>0.10360920902937422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A4-4FC1-A227-C2CFCBB2F193}"/>
            </c:ext>
          </c:extLst>
        </c:ser>
        <c:ser>
          <c:idx val="2"/>
          <c:order val="2"/>
          <c:tx>
            <c:v>SK하이닉스</c:v>
          </c:tx>
          <c:spPr>
            <a:ln>
              <a:prstDash val="solid"/>
            </a:ln>
          </c:spPr>
          <c:invertIfNegative val="1"/>
          <c:cat>
            <c:strRef>
              <c:f>비교분석!$B$24:$D$24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비교분석!$B$27:$D$27</c:f>
              <c:numCache>
                <c:formatCode>0.0%</c:formatCode>
                <c:ptCount val="3"/>
                <c:pt idx="0">
                  <c:v>-0.17078329385199004</c:v>
                </c:pt>
                <c:pt idx="1">
                  <c:v>0.26783079817517536</c:v>
                </c:pt>
                <c:pt idx="2">
                  <c:v>0.35592159102717535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A4-4FC1-A227-C2CFCBB2F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10"/>
  <c:chart>
    <c:title>
      <c:tx>
        <c:rich>
          <a:bodyPr/>
          <a:lstStyle/>
          <a:p>
            <a:pPr>
              <a:defRPr/>
            </a:pPr>
            <a:r>
              <a:t>부채비율 비교 (%)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한국전력</c:v>
          </c:tx>
          <c:spPr>
            <a:ln>
              <a:prstDash val="solid"/>
            </a:ln>
          </c:spPr>
          <c:invertIfNegative val="1"/>
          <c:cat>
            <c:strRef>
              <c:f>비교분석!$B$30:$D$30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비교분석!$B$31:$D$31</c:f>
              <c:numCache>
                <c:formatCode>0.0%</c:formatCode>
                <c:ptCount val="3"/>
                <c:pt idx="0">
                  <c:v>5.4327538759819936</c:v>
                </c:pt>
                <c:pt idx="1">
                  <c:v>4.9668977460997414</c:v>
                </c:pt>
                <c:pt idx="2">
                  <c:v>4.168536918639731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8E-4828-B53C-7957443658DD}"/>
            </c:ext>
          </c:extLst>
        </c:ser>
        <c:ser>
          <c:idx val="1"/>
          <c:order val="1"/>
          <c:tx>
            <c:v>삼성전자</c:v>
          </c:tx>
          <c:spPr>
            <a:ln>
              <a:prstDash val="solid"/>
            </a:ln>
          </c:spPr>
          <c:invertIfNegative val="1"/>
          <c:cat>
            <c:strRef>
              <c:f>비교분석!$B$30:$D$30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비교분석!$B$32:$D$32</c:f>
              <c:numCache>
                <c:formatCode>0.0%</c:formatCode>
                <c:ptCount val="3"/>
                <c:pt idx="0">
                  <c:v>0.25359837338464358</c:v>
                </c:pt>
                <c:pt idx="1">
                  <c:v>0.27931897811908624</c:v>
                </c:pt>
                <c:pt idx="2">
                  <c:v>0.29937126904996869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8E-4828-B53C-7957443658DD}"/>
            </c:ext>
          </c:extLst>
        </c:ser>
        <c:ser>
          <c:idx val="2"/>
          <c:order val="2"/>
          <c:tx>
            <c:v>SK하이닉스</c:v>
          </c:tx>
          <c:spPr>
            <a:ln>
              <a:prstDash val="solid"/>
            </a:ln>
          </c:spPr>
          <c:invertIfNegative val="1"/>
          <c:cat>
            <c:strRef>
              <c:f>비교분석!$B$30:$D$30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비교분석!$B$33:$D$33</c:f>
              <c:numCache>
                <c:formatCode>0.0%</c:formatCode>
                <c:ptCount val="3"/>
                <c:pt idx="0">
                  <c:v>0.87519867765535397</c:v>
                </c:pt>
                <c:pt idx="1">
                  <c:v>0.62151210790064315</c:v>
                </c:pt>
                <c:pt idx="2">
                  <c:v>0.4594547175634156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8E-4828-B53C-795744365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10"/>
  <c:chart>
    <c:title>
      <c:tx>
        <c:rich>
          <a:bodyPr/>
          <a:lstStyle/>
          <a:p>
            <a:pPr>
              <a:defRPr/>
            </a:pPr>
            <a:r>
              <a:t>영업이익률 비교 (%)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한국전력</c:v>
          </c:tx>
          <c:spPr>
            <a:ln>
              <a:prstDash val="solid"/>
            </a:ln>
          </c:spPr>
          <c:invertIfNegative val="1"/>
          <c:cat>
            <c:strRef>
              <c:f>비교분석!$B$9:$D$9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비교분석!$B$10:$D$10</c:f>
              <c:numCache>
                <c:formatCode>0.0%</c:formatCode>
                <c:ptCount val="3"/>
                <c:pt idx="0">
                  <c:v>-5.1481248564871643E-2</c:v>
                </c:pt>
                <c:pt idx="1">
                  <c:v>8.9558981510873534E-2</c:v>
                </c:pt>
                <c:pt idx="2">
                  <c:v>0.13846502674871697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17-42A0-872D-89C72465C891}"/>
            </c:ext>
          </c:extLst>
        </c:ser>
        <c:ser>
          <c:idx val="1"/>
          <c:order val="1"/>
          <c:tx>
            <c:v>삼성전자</c:v>
          </c:tx>
          <c:spPr>
            <a:ln>
              <a:prstDash val="solid"/>
            </a:ln>
          </c:spPr>
          <c:invertIfNegative val="1"/>
          <c:cat>
            <c:strRef>
              <c:f>비교분석!$B$9:$D$9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비교분석!$B$11:$D$11</c:f>
              <c:numCache>
                <c:formatCode>0.0%</c:formatCode>
                <c:ptCount val="3"/>
                <c:pt idx="0">
                  <c:v>2.5361436157531961E-2</c:v>
                </c:pt>
                <c:pt idx="1">
                  <c:v>0.10877077402197313</c:v>
                </c:pt>
                <c:pt idx="2">
                  <c:v>0.13069626776247609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17-42A0-872D-89C72465C891}"/>
            </c:ext>
          </c:extLst>
        </c:ser>
        <c:ser>
          <c:idx val="2"/>
          <c:order val="2"/>
          <c:tx>
            <c:v>SK하이닉스</c:v>
          </c:tx>
          <c:spPr>
            <a:ln>
              <a:prstDash val="solid"/>
            </a:ln>
          </c:spPr>
          <c:invertIfNegative val="1"/>
          <c:cat>
            <c:strRef>
              <c:f>비교분석!$B$9:$D$9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비교분석!$B$12:$D$12</c:f>
              <c:numCache>
                <c:formatCode>0.0%</c:formatCode>
                <c:ptCount val="3"/>
                <c:pt idx="0">
                  <c:v>-0.23592685391704665</c:v>
                </c:pt>
                <c:pt idx="1">
                  <c:v>0.35452892573470046</c:v>
                </c:pt>
                <c:pt idx="2">
                  <c:v>0.48592830377364948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17-42A0-872D-89C72465C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20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37</xdr:row>
      <xdr:rowOff>0</xdr:rowOff>
    </xdr:from>
    <xdr:ext cx="576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3</xdr:row>
      <xdr:rowOff>0</xdr:rowOff>
    </xdr:from>
    <xdr:ext cx="576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9</xdr:col>
      <xdr:colOff>0</xdr:colOff>
      <xdr:row>20</xdr:row>
      <xdr:rowOff>0</xdr:rowOff>
    </xdr:from>
    <xdr:ext cx="5760000" cy="288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9</xdr:col>
      <xdr:colOff>0</xdr:colOff>
      <xdr:row>37</xdr:row>
      <xdr:rowOff>0</xdr:rowOff>
    </xdr:from>
    <xdr:ext cx="5760000" cy="288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showGridLines="0" tabSelected="1" workbookViewId="0"/>
  </sheetViews>
  <sheetFormatPr defaultRowHeight="17.399999999999999" x14ac:dyDescent="0.4"/>
  <cols>
    <col min="1" max="1" width="104" customWidth="1"/>
  </cols>
  <sheetData>
    <row r="1" spans="1:1" ht="18.600000000000001" x14ac:dyDescent="0.4">
      <c r="A1" s="1" t="s">
        <v>0</v>
      </c>
    </row>
    <row r="2" spans="1:1" x14ac:dyDescent="0.4">
      <c r="A2" s="2"/>
    </row>
    <row r="3" spans="1:1" x14ac:dyDescent="0.4">
      <c r="A3" s="3" t="s">
        <v>1</v>
      </c>
    </row>
    <row r="4" spans="1:1" x14ac:dyDescent="0.4">
      <c r="A4" s="2" t="s">
        <v>2</v>
      </c>
    </row>
    <row r="5" spans="1:1" x14ac:dyDescent="0.4">
      <c r="A5" s="2" t="s">
        <v>3</v>
      </c>
    </row>
    <row r="6" spans="1:1" x14ac:dyDescent="0.4">
      <c r="A6" s="2" t="s">
        <v>4</v>
      </c>
    </row>
    <row r="7" spans="1:1" x14ac:dyDescent="0.4">
      <c r="A7" s="2"/>
    </row>
    <row r="8" spans="1:1" x14ac:dyDescent="0.4">
      <c r="A8" s="3" t="s">
        <v>5</v>
      </c>
    </row>
    <row r="9" spans="1:1" x14ac:dyDescent="0.4">
      <c r="A9" s="2" t="s">
        <v>6</v>
      </c>
    </row>
    <row r="10" spans="1:1" x14ac:dyDescent="0.4">
      <c r="A10" s="2" t="s">
        <v>7</v>
      </c>
    </row>
    <row r="11" spans="1:1" x14ac:dyDescent="0.4">
      <c r="A11" s="2" t="s">
        <v>8</v>
      </c>
    </row>
    <row r="12" spans="1:1" x14ac:dyDescent="0.4">
      <c r="A12" s="2" t="s">
        <v>9</v>
      </c>
    </row>
    <row r="13" spans="1:1" x14ac:dyDescent="0.4">
      <c r="A13" s="2"/>
    </row>
    <row r="14" spans="1:1" x14ac:dyDescent="0.4">
      <c r="A14" s="3" t="s">
        <v>10</v>
      </c>
    </row>
    <row r="15" spans="1:1" x14ac:dyDescent="0.4">
      <c r="A15" s="2" t="s">
        <v>11</v>
      </c>
    </row>
    <row r="16" spans="1:1" x14ac:dyDescent="0.4">
      <c r="A16" s="2" t="s">
        <v>12</v>
      </c>
    </row>
    <row r="17" spans="1:1" x14ac:dyDescent="0.4">
      <c r="A17" s="2" t="s">
        <v>13</v>
      </c>
    </row>
    <row r="18" spans="1:1" x14ac:dyDescent="0.4">
      <c r="A18" s="2" t="s">
        <v>14</v>
      </c>
    </row>
    <row r="19" spans="1:1" x14ac:dyDescent="0.4">
      <c r="A19" s="2" t="s">
        <v>15</v>
      </c>
    </row>
  </sheetData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6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7.399999999999999" x14ac:dyDescent="0.4"/>
  <cols>
    <col min="1" max="4" width="20" customWidth="1"/>
  </cols>
  <sheetData>
    <row r="1" spans="1:4" ht="18.600000000000001" x14ac:dyDescent="0.4">
      <c r="A1" s="14" t="s">
        <v>16</v>
      </c>
      <c r="B1" s="15"/>
      <c r="C1" s="15"/>
      <c r="D1" s="15"/>
    </row>
    <row r="3" spans="1:4" x14ac:dyDescent="0.4">
      <c r="A3" s="16" t="s">
        <v>17</v>
      </c>
      <c r="B3" s="15"/>
      <c r="C3" s="15"/>
      <c r="D3" s="15"/>
    </row>
    <row r="4" spans="1:4" x14ac:dyDescent="0.4">
      <c r="A4" s="17" t="s">
        <v>18</v>
      </c>
      <c r="B4" s="15"/>
      <c r="C4" s="15"/>
      <c r="D4" s="15"/>
    </row>
    <row r="5" spans="1:4" x14ac:dyDescent="0.4">
      <c r="A5" s="4" t="s">
        <v>19</v>
      </c>
      <c r="B5" s="5" t="s">
        <v>20</v>
      </c>
      <c r="C5" s="5" t="s">
        <v>21</v>
      </c>
      <c r="D5" s="5" t="s">
        <v>22</v>
      </c>
    </row>
    <row r="6" spans="1:4" x14ac:dyDescent="0.4">
      <c r="A6" s="2" t="s">
        <v>23</v>
      </c>
      <c r="B6" s="6">
        <v>88219461000000</v>
      </c>
      <c r="C6" s="6">
        <v>93398896000000</v>
      </c>
      <c r="D6" s="6">
        <v>97429346000000</v>
      </c>
    </row>
    <row r="7" spans="1:4" x14ac:dyDescent="0.4">
      <c r="A7" s="2" t="s">
        <v>24</v>
      </c>
      <c r="B7" s="6">
        <v>89699527000000</v>
      </c>
      <c r="C7" s="6">
        <v>81964160000000</v>
      </c>
      <c r="D7" s="6">
        <v>80704812000000</v>
      </c>
    </row>
    <row r="8" spans="1:4" x14ac:dyDescent="0.4">
      <c r="A8" s="2" t="s">
        <v>25</v>
      </c>
      <c r="B8" s="7">
        <f>IFERROR(B6-B7,"N/A")</f>
        <v>-1480066000000</v>
      </c>
      <c r="C8" s="7">
        <f>IFERROR(C6-C7,"N/A")</f>
        <v>11434736000000</v>
      </c>
      <c r="D8" s="7">
        <f>IFERROR(D6-D7,"N/A")</f>
        <v>16724534000000</v>
      </c>
    </row>
    <row r="9" spans="1:4" x14ac:dyDescent="0.4">
      <c r="A9" s="2" t="s">
        <v>26</v>
      </c>
      <c r="B9" s="6">
        <v>-4541648000000</v>
      </c>
      <c r="C9" s="6">
        <v>8364710000000</v>
      </c>
      <c r="D9" s="6">
        <v>13490557000000</v>
      </c>
    </row>
    <row r="10" spans="1:4" x14ac:dyDescent="0.4">
      <c r="A10" s="2" t="s">
        <v>27</v>
      </c>
      <c r="B10" s="6">
        <v>-4716144000000</v>
      </c>
      <c r="C10" s="6">
        <v>3621968000000</v>
      </c>
      <c r="D10" s="6">
        <v>8666656000000</v>
      </c>
    </row>
    <row r="11" spans="1:4" x14ac:dyDescent="0.4">
      <c r="A11" s="2" t="s">
        <v>28</v>
      </c>
      <c r="B11" s="6">
        <v>29536215000000</v>
      </c>
      <c r="C11" s="6">
        <v>29255205000000</v>
      </c>
      <c r="D11" s="6">
        <v>30715388000000</v>
      </c>
    </row>
    <row r="12" spans="1:4" x14ac:dyDescent="0.4">
      <c r="A12" s="2" t="s">
        <v>29</v>
      </c>
      <c r="B12" s="6">
        <v>8875615000000</v>
      </c>
      <c r="C12" s="6">
        <v>9769236000000</v>
      </c>
      <c r="D12" s="6">
        <v>10152724000000</v>
      </c>
    </row>
    <row r="13" spans="1:4" x14ac:dyDescent="0.4">
      <c r="A13" s="2" t="s">
        <v>30</v>
      </c>
      <c r="B13" s="6">
        <v>61248421000000</v>
      </c>
      <c r="C13" s="6">
        <v>63968789000000</v>
      </c>
      <c r="D13" s="6">
        <v>67107317000000</v>
      </c>
    </row>
    <row r="14" spans="1:4" x14ac:dyDescent="0.4">
      <c r="A14" s="2" t="s">
        <v>31</v>
      </c>
      <c r="B14" s="6">
        <v>239714965000000</v>
      </c>
      <c r="C14" s="6">
        <v>246807795000000</v>
      </c>
      <c r="D14" s="6">
        <v>254927457000000</v>
      </c>
    </row>
    <row r="15" spans="1:4" x14ac:dyDescent="0.4">
      <c r="A15" s="2" t="s">
        <v>32</v>
      </c>
      <c r="B15" s="6">
        <v>202450215000000</v>
      </c>
      <c r="C15" s="6">
        <v>205444962000000</v>
      </c>
      <c r="D15" s="6">
        <v>205604513000000</v>
      </c>
    </row>
    <row r="16" spans="1:4" x14ac:dyDescent="0.4">
      <c r="A16" s="2" t="s">
        <v>33</v>
      </c>
      <c r="B16" s="6">
        <v>37264750000000</v>
      </c>
      <c r="C16" s="6">
        <v>41362833000000</v>
      </c>
      <c r="D16" s="6">
        <v>49322944000000</v>
      </c>
    </row>
    <row r="18" spans="1:4" x14ac:dyDescent="0.4">
      <c r="A18" s="16" t="s">
        <v>34</v>
      </c>
      <c r="B18" s="15"/>
      <c r="C18" s="15"/>
      <c r="D18" s="15"/>
    </row>
    <row r="19" spans="1:4" x14ac:dyDescent="0.4">
      <c r="A19" s="17" t="s">
        <v>35</v>
      </c>
      <c r="B19" s="15"/>
      <c r="C19" s="15"/>
      <c r="D19" s="15"/>
    </row>
    <row r="20" spans="1:4" x14ac:dyDescent="0.4">
      <c r="A20" s="4" t="s">
        <v>19</v>
      </c>
      <c r="B20" s="5" t="s">
        <v>20</v>
      </c>
      <c r="C20" s="5" t="s">
        <v>21</v>
      </c>
      <c r="D20" s="5" t="s">
        <v>22</v>
      </c>
    </row>
    <row r="21" spans="1:4" x14ac:dyDescent="0.4">
      <c r="A21" s="2" t="s">
        <v>23</v>
      </c>
      <c r="B21" s="6">
        <v>258935494000000</v>
      </c>
      <c r="C21" s="6">
        <v>300870903000000</v>
      </c>
      <c r="D21" s="6">
        <v>333605938000000</v>
      </c>
    </row>
    <row r="22" spans="1:4" x14ac:dyDescent="0.4">
      <c r="A22" s="2" t="s">
        <v>24</v>
      </c>
      <c r="B22" s="6">
        <v>180388580000000</v>
      </c>
      <c r="C22" s="6">
        <v>186562268000000</v>
      </c>
      <c r="D22" s="6">
        <v>202235513000000</v>
      </c>
    </row>
    <row r="23" spans="1:4" x14ac:dyDescent="0.4">
      <c r="A23" s="2" t="s">
        <v>25</v>
      </c>
      <c r="B23" s="7">
        <f>IFERROR(B21-B22,"N/A")</f>
        <v>78546914000000</v>
      </c>
      <c r="C23" s="7">
        <f>IFERROR(C21-C22,"N/A")</f>
        <v>114308635000000</v>
      </c>
      <c r="D23" s="7">
        <f>IFERROR(D21-D22,"N/A")</f>
        <v>131370425000000</v>
      </c>
    </row>
    <row r="24" spans="1:4" x14ac:dyDescent="0.4">
      <c r="A24" s="2" t="s">
        <v>26</v>
      </c>
      <c r="B24" s="6">
        <v>6566976000000</v>
      </c>
      <c r="C24" s="6">
        <v>32725961000000</v>
      </c>
      <c r="D24" s="6">
        <v>43601051000000</v>
      </c>
    </row>
    <row r="25" spans="1:4" x14ac:dyDescent="0.4">
      <c r="A25" s="2" t="s">
        <v>27</v>
      </c>
      <c r="B25" s="6">
        <v>15487100000000</v>
      </c>
      <c r="C25" s="6">
        <v>34451351000000</v>
      </c>
      <c r="D25" s="6">
        <v>45206805000000</v>
      </c>
    </row>
    <row r="26" spans="1:4" x14ac:dyDescent="0.4">
      <c r="A26" s="2" t="s">
        <v>28</v>
      </c>
      <c r="B26" s="6">
        <v>195936557000000</v>
      </c>
      <c r="C26" s="6">
        <v>227062266000000</v>
      </c>
      <c r="D26" s="6">
        <v>247684612000000</v>
      </c>
    </row>
    <row r="27" spans="1:4" x14ac:dyDescent="0.4">
      <c r="A27" s="2" t="s">
        <v>29</v>
      </c>
      <c r="B27" s="6">
        <v>51625874000000</v>
      </c>
      <c r="C27" s="6">
        <v>51754865000000</v>
      </c>
      <c r="D27" s="6">
        <v>52636828000000</v>
      </c>
    </row>
    <row r="28" spans="1:4" x14ac:dyDescent="0.4">
      <c r="A28" s="2" t="s">
        <v>30</v>
      </c>
      <c r="B28" s="6">
        <v>75719452000000</v>
      </c>
      <c r="C28" s="6">
        <v>93326299000000</v>
      </c>
      <c r="D28" s="6">
        <v>106411348000000</v>
      </c>
    </row>
    <row r="29" spans="1:4" x14ac:dyDescent="0.4">
      <c r="A29" s="2" t="s">
        <v>31</v>
      </c>
      <c r="B29" s="6">
        <v>455905980000000</v>
      </c>
      <c r="C29" s="6">
        <v>514531948000000</v>
      </c>
      <c r="D29" s="6">
        <v>566942110000000</v>
      </c>
    </row>
    <row r="30" spans="1:4" x14ac:dyDescent="0.4">
      <c r="A30" s="2" t="s">
        <v>32</v>
      </c>
      <c r="B30" s="6">
        <v>92228115000000</v>
      </c>
      <c r="C30" s="6">
        <v>112339878000000</v>
      </c>
      <c r="D30" s="6">
        <v>130621773000000</v>
      </c>
    </row>
    <row r="31" spans="1:4" x14ac:dyDescent="0.4">
      <c r="A31" s="2" t="s">
        <v>33</v>
      </c>
      <c r="B31" s="6">
        <v>363677865000000</v>
      </c>
      <c r="C31" s="6">
        <v>402192070000000</v>
      </c>
      <c r="D31" s="6">
        <v>436320337000000</v>
      </c>
    </row>
    <row r="33" spans="1:4" x14ac:dyDescent="0.4">
      <c r="A33" s="16" t="s">
        <v>36</v>
      </c>
      <c r="B33" s="15"/>
      <c r="C33" s="15"/>
      <c r="D33" s="15"/>
    </row>
    <row r="34" spans="1:4" x14ac:dyDescent="0.4">
      <c r="A34" s="17" t="s">
        <v>37</v>
      </c>
      <c r="B34" s="15"/>
      <c r="C34" s="15"/>
      <c r="D34" s="15"/>
    </row>
    <row r="35" spans="1:4" x14ac:dyDescent="0.4">
      <c r="A35" s="4" t="s">
        <v>19</v>
      </c>
      <c r="B35" s="5" t="s">
        <v>20</v>
      </c>
      <c r="C35" s="5" t="s">
        <v>21</v>
      </c>
      <c r="D35" s="5" t="s">
        <v>22</v>
      </c>
    </row>
    <row r="36" spans="1:4" x14ac:dyDescent="0.4">
      <c r="A36" s="2" t="s">
        <v>23</v>
      </c>
      <c r="B36" s="6">
        <v>32765719000000</v>
      </c>
      <c r="C36" s="6">
        <v>66192960000000</v>
      </c>
      <c r="D36" s="6">
        <v>97146675000000</v>
      </c>
    </row>
    <row r="37" spans="1:4" x14ac:dyDescent="0.4">
      <c r="A37" s="2" t="s">
        <v>24</v>
      </c>
      <c r="B37" s="6">
        <v>33299167000000</v>
      </c>
      <c r="C37" s="6">
        <v>34364814000000</v>
      </c>
      <c r="D37" s="6">
        <v>38455885000000</v>
      </c>
    </row>
    <row r="38" spans="1:4" x14ac:dyDescent="0.4">
      <c r="A38" s="2" t="s">
        <v>25</v>
      </c>
      <c r="B38" s="7">
        <f>IFERROR(B36-B37,"N/A")</f>
        <v>-533448000000</v>
      </c>
      <c r="C38" s="7">
        <f>IFERROR(C36-C37,"N/A")</f>
        <v>31828146000000</v>
      </c>
      <c r="D38" s="7">
        <f>IFERROR(D36-D37,"N/A")</f>
        <v>58690790000000</v>
      </c>
    </row>
    <row r="39" spans="1:4" x14ac:dyDescent="0.4">
      <c r="A39" s="2" t="s">
        <v>26</v>
      </c>
      <c r="B39" s="6">
        <v>-7730313000000</v>
      </c>
      <c r="C39" s="6">
        <v>23467319000000</v>
      </c>
      <c r="D39" s="6">
        <v>47206319000000</v>
      </c>
    </row>
    <row r="40" spans="1:4" x14ac:dyDescent="0.4">
      <c r="A40" s="2" t="s">
        <v>27</v>
      </c>
      <c r="B40" s="6">
        <v>-9137547000000</v>
      </c>
      <c r="C40" s="6">
        <v>19796902000000</v>
      </c>
      <c r="D40" s="6">
        <v>42947902000000</v>
      </c>
    </row>
    <row r="41" spans="1:4" x14ac:dyDescent="0.4">
      <c r="A41" s="2" t="s">
        <v>28</v>
      </c>
      <c r="B41" s="6">
        <v>30468100000000</v>
      </c>
      <c r="C41" s="6">
        <v>42278887000000</v>
      </c>
      <c r="D41" s="6">
        <v>69458073000000</v>
      </c>
    </row>
    <row r="42" spans="1:4" x14ac:dyDescent="0.4">
      <c r="A42" s="2" t="s">
        <v>29</v>
      </c>
      <c r="B42" s="6">
        <v>13480659000000</v>
      </c>
      <c r="C42" s="6">
        <v>13313937000000</v>
      </c>
      <c r="D42" s="6">
        <v>14289390000000</v>
      </c>
    </row>
    <row r="43" spans="1:4" x14ac:dyDescent="0.4">
      <c r="A43" s="2" t="s">
        <v>30</v>
      </c>
      <c r="B43" s="6">
        <v>21007810000000</v>
      </c>
      <c r="C43" s="6">
        <v>24965444000000</v>
      </c>
      <c r="D43" s="6">
        <v>37378999000000</v>
      </c>
    </row>
    <row r="44" spans="1:4" x14ac:dyDescent="0.4">
      <c r="A44" s="2" t="s">
        <v>31</v>
      </c>
      <c r="B44" s="6">
        <v>100330165000000</v>
      </c>
      <c r="C44" s="6">
        <v>119855209000000</v>
      </c>
      <c r="D44" s="6">
        <v>176107659000000</v>
      </c>
    </row>
    <row r="45" spans="1:4" x14ac:dyDescent="0.4">
      <c r="A45" s="2" t="s">
        <v>32</v>
      </c>
      <c r="B45" s="6">
        <v>46826413000000</v>
      </c>
      <c r="C45" s="6">
        <v>45939505000000</v>
      </c>
      <c r="D45" s="6">
        <v>55440908000000</v>
      </c>
    </row>
    <row r="46" spans="1:4" x14ac:dyDescent="0.4">
      <c r="A46" s="2" t="s">
        <v>33</v>
      </c>
      <c r="B46" s="6">
        <v>53503752000000</v>
      </c>
      <c r="C46" s="6">
        <v>73915704000000</v>
      </c>
      <c r="D46" s="6">
        <v>120666751000000</v>
      </c>
    </row>
  </sheetData>
  <mergeCells count="7">
    <mergeCell ref="A1:D1"/>
    <mergeCell ref="A18:D18"/>
    <mergeCell ref="A34:D34"/>
    <mergeCell ref="A4:D4"/>
    <mergeCell ref="A3:D3"/>
    <mergeCell ref="A19:D19"/>
    <mergeCell ref="A33:D33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4"/>
  <sheetViews>
    <sheetView showGridLines="0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7.399999999999999" x14ac:dyDescent="0.4"/>
  <cols>
    <col min="1" max="1" width="16" customWidth="1"/>
    <col min="2" max="4" width="14" customWidth="1"/>
  </cols>
  <sheetData>
    <row r="1" spans="1:4" ht="18.600000000000001" x14ac:dyDescent="0.4">
      <c r="A1" s="14" t="s">
        <v>38</v>
      </c>
      <c r="B1" s="15"/>
      <c r="C1" s="15"/>
      <c r="D1" s="15"/>
    </row>
    <row r="3" spans="1:4" x14ac:dyDescent="0.4">
      <c r="A3" s="18" t="s">
        <v>39</v>
      </c>
      <c r="B3" s="15"/>
      <c r="C3" s="15"/>
      <c r="D3" s="15"/>
    </row>
    <row r="4" spans="1:4" x14ac:dyDescent="0.4">
      <c r="A4" s="4" t="s">
        <v>40</v>
      </c>
      <c r="B4" s="5" t="s">
        <v>20</v>
      </c>
      <c r="C4" s="5" t="s">
        <v>21</v>
      </c>
      <c r="D4" s="5" t="s">
        <v>22</v>
      </c>
    </row>
    <row r="5" spans="1:4" x14ac:dyDescent="0.4">
      <c r="A5" s="2" t="s">
        <v>41</v>
      </c>
      <c r="B5" s="8">
        <f>IFERROR(원본데이터!B8/원본데이터!B6,"-")</f>
        <v>-1.6777091848248767E-2</v>
      </c>
      <c r="C5" s="8">
        <f>IFERROR(원본데이터!C8/원본데이터!C6,"-")</f>
        <v>0.12242902742661969</v>
      </c>
      <c r="D5" s="8">
        <f>IFERROR(원본데이터!D8/원본데이터!D6,"-")</f>
        <v>0.17165807517583048</v>
      </c>
    </row>
    <row r="6" spans="1:4" x14ac:dyDescent="0.4">
      <c r="A6" s="2" t="s">
        <v>42</v>
      </c>
      <c r="B6" s="8">
        <f>IFERROR(원본데이터!B23/원본데이터!B21,"-")</f>
        <v>0.3033454888189257</v>
      </c>
      <c r="C6" s="8">
        <f>IFERROR(원본데이터!C23/원본데이터!C21,"-")</f>
        <v>0.37992585477765523</v>
      </c>
      <c r="D6" s="8">
        <f>IFERROR(원본데이터!D23/원본데이터!D21,"-")</f>
        <v>0.39378922865575611</v>
      </c>
    </row>
    <row r="7" spans="1:4" x14ac:dyDescent="0.4">
      <c r="A7" s="2" t="s">
        <v>43</v>
      </c>
      <c r="B7" s="8">
        <f>IFERROR(원본데이터!B38/원본데이터!B36,"-")</f>
        <v>-1.6280674323063078E-2</v>
      </c>
      <c r="C7" s="8">
        <f>IFERROR(원본데이터!C38/원본데이터!C36,"-")</f>
        <v>0.48083883845049386</v>
      </c>
      <c r="D7" s="8">
        <f>IFERROR(원본데이터!D38/원본데이터!D36,"-")</f>
        <v>0.60414615322655152</v>
      </c>
    </row>
    <row r="9" spans="1:4" x14ac:dyDescent="0.4">
      <c r="A9" s="4" t="s">
        <v>44</v>
      </c>
      <c r="B9" s="5" t="s">
        <v>20</v>
      </c>
      <c r="C9" s="5" t="s">
        <v>21</v>
      </c>
      <c r="D9" s="5" t="s">
        <v>22</v>
      </c>
    </row>
    <row r="10" spans="1:4" x14ac:dyDescent="0.4">
      <c r="A10" s="2" t="s">
        <v>41</v>
      </c>
      <c r="B10" s="8">
        <f>IFERROR(원본데이터!B9/원본데이터!B6,"-")</f>
        <v>-5.1481248564871643E-2</v>
      </c>
      <c r="C10" s="8">
        <f>IFERROR(원본데이터!C9/원본데이터!C6,"-")</f>
        <v>8.9558981510873534E-2</v>
      </c>
      <c r="D10" s="8">
        <f>IFERROR(원본데이터!D9/원본데이터!D6,"-")</f>
        <v>0.13846502674871697</v>
      </c>
    </row>
    <row r="11" spans="1:4" x14ac:dyDescent="0.4">
      <c r="A11" s="2" t="s">
        <v>42</v>
      </c>
      <c r="B11" s="8">
        <f>IFERROR(원본데이터!B24/원본데이터!B21,"-")</f>
        <v>2.5361436157531961E-2</v>
      </c>
      <c r="C11" s="8">
        <f>IFERROR(원본데이터!C24/원본데이터!C21,"-")</f>
        <v>0.10877077402197313</v>
      </c>
      <c r="D11" s="8">
        <f>IFERROR(원본데이터!D24/원본데이터!D21,"-")</f>
        <v>0.13069626776247609</v>
      </c>
    </row>
    <row r="12" spans="1:4" x14ac:dyDescent="0.4">
      <c r="A12" s="2" t="s">
        <v>43</v>
      </c>
      <c r="B12" s="8">
        <f>IFERROR(원본데이터!B39/원본데이터!B36,"-")</f>
        <v>-0.23592685391704665</v>
      </c>
      <c r="C12" s="8">
        <f>IFERROR(원본데이터!C39/원본데이터!C36,"-")</f>
        <v>0.35452892573470046</v>
      </c>
      <c r="D12" s="8">
        <f>IFERROR(원본데이터!D39/원본데이터!D36,"-")</f>
        <v>0.48592830377364948</v>
      </c>
    </row>
    <row r="14" spans="1:4" x14ac:dyDescent="0.4">
      <c r="A14" s="4" t="s">
        <v>45</v>
      </c>
      <c r="B14" s="5" t="s">
        <v>20</v>
      </c>
      <c r="C14" s="5" t="s">
        <v>21</v>
      </c>
      <c r="D14" s="5" t="s">
        <v>22</v>
      </c>
    </row>
    <row r="15" spans="1:4" x14ac:dyDescent="0.4">
      <c r="A15" s="2" t="s">
        <v>41</v>
      </c>
      <c r="B15" s="8">
        <f>IFERROR(원본데이터!B10/원본데이터!B6,"-")</f>
        <v>-5.3459224830221988E-2</v>
      </c>
      <c r="C15" s="8">
        <f>IFERROR(원본데이터!C10/원본데이터!C6,"-")</f>
        <v>3.8779559021768308E-2</v>
      </c>
      <c r="D15" s="8">
        <f>IFERROR(원본데이터!D10/원본데이터!D6,"-")</f>
        <v>8.8953240022775062E-2</v>
      </c>
    </row>
    <row r="16" spans="1:4" x14ac:dyDescent="0.4">
      <c r="A16" s="2" t="s">
        <v>42</v>
      </c>
      <c r="B16" s="8">
        <f>IFERROR(원본데이터!B25/원본데이터!B21,"-")</f>
        <v>5.9810649211343735E-2</v>
      </c>
      <c r="C16" s="8">
        <f>IFERROR(원본데이터!C25/원본데이터!C21,"-")</f>
        <v>0.11450542626915305</v>
      </c>
      <c r="D16" s="8">
        <f>IFERROR(원본데이터!D25/원본데이터!D21,"-")</f>
        <v>0.135509593357418</v>
      </c>
    </row>
    <row r="17" spans="1:4" x14ac:dyDescent="0.4">
      <c r="A17" s="2" t="s">
        <v>43</v>
      </c>
      <c r="B17" s="8">
        <f>IFERROR(원본데이터!B40/원본데이터!B36,"-")</f>
        <v>-0.27887521711334945</v>
      </c>
      <c r="C17" s="8">
        <f>IFERROR(원본데이터!C40/원본데이터!C36,"-")</f>
        <v>0.29907866335030192</v>
      </c>
      <c r="D17" s="8">
        <f>IFERROR(원본데이터!D40/원본데이터!D36,"-")</f>
        <v>0.4420933809623438</v>
      </c>
    </row>
    <row r="19" spans="1:4" x14ac:dyDescent="0.4">
      <c r="A19" s="4" t="s">
        <v>46</v>
      </c>
      <c r="B19" s="5" t="s">
        <v>20</v>
      </c>
      <c r="C19" s="5" t="s">
        <v>21</v>
      </c>
      <c r="D19" s="5" t="s">
        <v>22</v>
      </c>
    </row>
    <row r="20" spans="1:4" x14ac:dyDescent="0.4">
      <c r="A20" s="2" t="s">
        <v>41</v>
      </c>
      <c r="B20" s="8">
        <f>IFERROR(원본데이터!B10/원본데이터!B14,"-")</f>
        <v>-1.9673965703392776E-2</v>
      </c>
      <c r="C20" s="8">
        <f>IFERROR(원본데이터!C10/원본데이터!C14,"-")</f>
        <v>1.4675257724335651E-2</v>
      </c>
      <c r="D20" s="8">
        <f>IFERROR(원본데이터!D10/원본데이터!D14,"-")</f>
        <v>3.3996557695234846E-2</v>
      </c>
    </row>
    <row r="21" spans="1:4" x14ac:dyDescent="0.4">
      <c r="A21" s="2" t="s">
        <v>42</v>
      </c>
      <c r="B21" s="8">
        <f>IFERROR(원본데이터!B25/원본데이터!B29,"-")</f>
        <v>3.3969942662300676E-2</v>
      </c>
      <c r="C21" s="8">
        <f>IFERROR(원본데이터!C25/원본데이터!C29,"-")</f>
        <v>6.6956680015523545E-2</v>
      </c>
      <c r="D21" s="8">
        <f>IFERROR(원본데이터!D25/원본데이터!D29,"-")</f>
        <v>7.9737955961676585E-2</v>
      </c>
    </row>
    <row r="22" spans="1:4" x14ac:dyDescent="0.4">
      <c r="A22" s="2" t="s">
        <v>43</v>
      </c>
      <c r="B22" s="8">
        <f>IFERROR(원본데이터!B40/원본데이터!B44,"-")</f>
        <v>-9.1074772975804436E-2</v>
      </c>
      <c r="C22" s="8">
        <f>IFERROR(원본데이터!C40/원본데이터!C44,"-")</f>
        <v>0.16517348027819134</v>
      </c>
      <c r="D22" s="8">
        <f>IFERROR(원본데이터!D40/원본데이터!D44,"-")</f>
        <v>0.2438729936214756</v>
      </c>
    </row>
    <row r="24" spans="1:4" x14ac:dyDescent="0.4">
      <c r="A24" s="4" t="s">
        <v>47</v>
      </c>
      <c r="B24" s="5" t="s">
        <v>20</v>
      </c>
      <c r="C24" s="5" t="s">
        <v>21</v>
      </c>
      <c r="D24" s="5" t="s">
        <v>22</v>
      </c>
    </row>
    <row r="25" spans="1:4" x14ac:dyDescent="0.4">
      <c r="A25" s="2" t="s">
        <v>41</v>
      </c>
      <c r="B25" s="8">
        <f>IFERROR(원본데이터!B10/원본데이터!B16,"-")</f>
        <v>-0.12655777913443669</v>
      </c>
      <c r="C25" s="8">
        <f>IFERROR(원본데이터!C10/원본데이터!C16,"-")</f>
        <v>8.7565762238771216E-2</v>
      </c>
      <c r="D25" s="8">
        <f>IFERROR(원본데이터!D10/원본데이터!D16,"-")</f>
        <v>0.17571246355448694</v>
      </c>
    </row>
    <row r="26" spans="1:4" x14ac:dyDescent="0.4">
      <c r="A26" s="2" t="s">
        <v>42</v>
      </c>
      <c r="B26" s="8">
        <f>IFERROR(원본데이터!B25/원본데이터!B31,"-")</f>
        <v>4.2584664865429743E-2</v>
      </c>
      <c r="C26" s="8">
        <f>IFERROR(원본데이터!C25/원본데이터!C31,"-")</f>
        <v>8.565895145570622E-2</v>
      </c>
      <c r="D26" s="8">
        <f>IFERROR(원본데이터!D25/원본데이터!D31,"-")</f>
        <v>0.10360920902937422</v>
      </c>
    </row>
    <row r="27" spans="1:4" x14ac:dyDescent="0.4">
      <c r="A27" s="2" t="s">
        <v>43</v>
      </c>
      <c r="B27" s="8">
        <f>IFERROR(원본데이터!B40/원본데이터!B46,"-")</f>
        <v>-0.17078329385199004</v>
      </c>
      <c r="C27" s="8">
        <f>IFERROR(원본데이터!C40/원본데이터!C46,"-")</f>
        <v>0.26783079817517536</v>
      </c>
      <c r="D27" s="8">
        <f>IFERROR(원본데이터!D40/원본데이터!D46,"-")</f>
        <v>0.35592159102717535</v>
      </c>
    </row>
    <row r="29" spans="1:4" x14ac:dyDescent="0.4">
      <c r="A29" s="18" t="s">
        <v>48</v>
      </c>
      <c r="B29" s="15"/>
      <c r="C29" s="15"/>
      <c r="D29" s="15"/>
    </row>
    <row r="30" spans="1:4" x14ac:dyDescent="0.4">
      <c r="A30" s="4" t="s">
        <v>49</v>
      </c>
      <c r="B30" s="5" t="s">
        <v>20</v>
      </c>
      <c r="C30" s="5" t="s">
        <v>21</v>
      </c>
      <c r="D30" s="5" t="s">
        <v>22</v>
      </c>
    </row>
    <row r="31" spans="1:4" x14ac:dyDescent="0.4">
      <c r="A31" s="2" t="s">
        <v>41</v>
      </c>
      <c r="B31" s="8">
        <f>IFERROR(원본데이터!B15/원본데이터!B16,"-")</f>
        <v>5.4327538759819936</v>
      </c>
      <c r="C31" s="8">
        <f>IFERROR(원본데이터!C15/원본데이터!C16,"-")</f>
        <v>4.9668977460997414</v>
      </c>
      <c r="D31" s="8">
        <f>IFERROR(원본데이터!D15/원본데이터!D16,"-")</f>
        <v>4.168536918639731</v>
      </c>
    </row>
    <row r="32" spans="1:4" x14ac:dyDescent="0.4">
      <c r="A32" s="2" t="s">
        <v>42</v>
      </c>
      <c r="B32" s="8">
        <f>IFERROR(원본데이터!B30/원본데이터!B31,"-")</f>
        <v>0.25359837338464358</v>
      </c>
      <c r="C32" s="8">
        <f>IFERROR(원본데이터!C30/원본데이터!C31,"-")</f>
        <v>0.27931897811908624</v>
      </c>
      <c r="D32" s="8">
        <f>IFERROR(원본데이터!D30/원본데이터!D31,"-")</f>
        <v>0.29937126904996869</v>
      </c>
    </row>
    <row r="33" spans="1:4" x14ac:dyDescent="0.4">
      <c r="A33" s="2" t="s">
        <v>43</v>
      </c>
      <c r="B33" s="8">
        <f>IFERROR(원본데이터!B45/원본데이터!B46,"-")</f>
        <v>0.87519867765535397</v>
      </c>
      <c r="C33" s="8">
        <f>IFERROR(원본데이터!C45/원본데이터!C46,"-")</f>
        <v>0.62151210790064315</v>
      </c>
      <c r="D33" s="8">
        <f>IFERROR(원본데이터!D45/원본데이터!D46,"-")</f>
        <v>0.4594547175634156</v>
      </c>
    </row>
    <row r="35" spans="1:4" x14ac:dyDescent="0.4">
      <c r="A35" s="4" t="s">
        <v>50</v>
      </c>
      <c r="B35" s="5" t="s">
        <v>20</v>
      </c>
      <c r="C35" s="5" t="s">
        <v>21</v>
      </c>
      <c r="D35" s="5" t="s">
        <v>22</v>
      </c>
    </row>
    <row r="36" spans="1:4" x14ac:dyDescent="0.4">
      <c r="A36" s="2" t="s">
        <v>41</v>
      </c>
      <c r="B36" s="8">
        <f>IFERROR(원본데이터!B11/원본데이터!B13,"-")</f>
        <v>0.48223635022362454</v>
      </c>
      <c r="C36" s="8">
        <f>IFERROR(원본데이터!C11/원본데이터!C13,"-")</f>
        <v>0.45733560783837879</v>
      </c>
      <c r="D36" s="8">
        <f>IFERROR(원본데이터!D11/원본데이터!D13,"-")</f>
        <v>0.45770549879083977</v>
      </c>
    </row>
    <row r="37" spans="1:4" x14ac:dyDescent="0.4">
      <c r="A37" s="2" t="s">
        <v>42</v>
      </c>
      <c r="B37" s="8">
        <f>IFERROR(원본데이터!B26/원본데이터!B28,"-")</f>
        <v>2.5876647522488674</v>
      </c>
      <c r="C37" s="8">
        <f>IFERROR(원본데이터!C26/원본데이터!C28,"-")</f>
        <v>2.4329933623533062</v>
      </c>
      <c r="D37" s="8">
        <f>IFERROR(원본데이터!D26/원본데이터!D28,"-")</f>
        <v>2.3276146450094779</v>
      </c>
    </row>
    <row r="38" spans="1:4" x14ac:dyDescent="0.4">
      <c r="A38" s="2" t="s">
        <v>43</v>
      </c>
      <c r="B38" s="8">
        <f>IFERROR(원본데이터!B41/원본데이터!B43,"-")</f>
        <v>1.4503225229093371</v>
      </c>
      <c r="C38" s="8">
        <f>IFERROR(원본데이터!C41/원본데이터!C43,"-")</f>
        <v>1.6934962983233945</v>
      </c>
      <c r="D38" s="8">
        <f>IFERROR(원본데이터!D41/원본데이터!D43,"-")</f>
        <v>1.8582111575540052</v>
      </c>
    </row>
    <row r="40" spans="1:4" x14ac:dyDescent="0.4">
      <c r="A40" s="4" t="s">
        <v>51</v>
      </c>
      <c r="B40" s="5" t="s">
        <v>20</v>
      </c>
      <c r="C40" s="5" t="s">
        <v>21</v>
      </c>
      <c r="D40" s="5" t="s">
        <v>22</v>
      </c>
    </row>
    <row r="41" spans="1:4" x14ac:dyDescent="0.4">
      <c r="A41" s="2" t="s">
        <v>41</v>
      </c>
      <c r="B41" s="8">
        <f>IFERROR(원본데이터!B16/원본데이터!B14,"-")</f>
        <v>0.15545441645664468</v>
      </c>
      <c r="C41" s="8">
        <f>IFERROR(원본데이터!C16/원본데이터!C14,"-")</f>
        <v>0.16759127482176972</v>
      </c>
      <c r="D41" s="8">
        <f>IFERROR(원본데이터!D16/원본데이터!D14,"-")</f>
        <v>0.19347835098045166</v>
      </c>
    </row>
    <row r="42" spans="1:4" x14ac:dyDescent="0.4">
      <c r="A42" s="2" t="s">
        <v>42</v>
      </c>
      <c r="B42" s="8">
        <f>IFERROR(원본데이터!B31/원본데이터!B29,"-")</f>
        <v>0.79770365152920342</v>
      </c>
      <c r="C42" s="8">
        <f>IFERROR(원본데이터!C31/원본데이터!C29,"-")</f>
        <v>0.78166588403952708</v>
      </c>
      <c r="D42" s="8">
        <f>IFERROR(원본데이터!D31/원본데이터!D29,"-")</f>
        <v>0.76960297939413957</v>
      </c>
    </row>
    <row r="43" spans="1:4" x14ac:dyDescent="0.4">
      <c r="A43" s="2" t="s">
        <v>43</v>
      </c>
      <c r="B43" s="8">
        <f>IFERROR(원본데이터!B46/원본데이터!B44,"-")</f>
        <v>0.53327682656556974</v>
      </c>
      <c r="C43" s="8">
        <f>IFERROR(원본데이터!C46/원본데이터!C44,"-")</f>
        <v>0.61670831511378033</v>
      </c>
      <c r="D43" s="8">
        <f>IFERROR(원본데이터!D46/원본데이터!D44,"-")</f>
        <v>0.68518741141178874</v>
      </c>
    </row>
    <row r="45" spans="1:4" x14ac:dyDescent="0.4">
      <c r="A45" s="18" t="s">
        <v>52</v>
      </c>
      <c r="B45" s="15"/>
      <c r="C45" s="15"/>
      <c r="D45" s="15"/>
    </row>
    <row r="46" spans="1:4" x14ac:dyDescent="0.4">
      <c r="A46" s="4" t="s">
        <v>53</v>
      </c>
      <c r="B46" s="5" t="s">
        <v>20</v>
      </c>
      <c r="C46" s="5" t="s">
        <v>21</v>
      </c>
      <c r="D46" s="5" t="s">
        <v>22</v>
      </c>
    </row>
    <row r="47" spans="1:4" x14ac:dyDescent="0.4">
      <c r="A47" s="2" t="s">
        <v>41</v>
      </c>
      <c r="B47" s="9" t="s">
        <v>54</v>
      </c>
      <c r="C47" s="8">
        <f>IFERROR((원본데이터!C6-원본데이터!B6)/원본데이터!B6,"-")</f>
        <v>5.8710798516440718E-2</v>
      </c>
      <c r="D47" s="8">
        <f>IFERROR((원본데이터!D6-원본데이터!C6)/원본데이터!C6,"-")</f>
        <v>4.3153079668093723E-2</v>
      </c>
    </row>
    <row r="48" spans="1:4" x14ac:dyDescent="0.4">
      <c r="A48" s="2" t="s">
        <v>42</v>
      </c>
      <c r="B48" s="9" t="s">
        <v>54</v>
      </c>
      <c r="C48" s="8">
        <f>IFERROR((원본데이터!C21-원본데이터!B21)/원본데이터!B21,"-")</f>
        <v>0.16195311176612967</v>
      </c>
      <c r="D48" s="8">
        <f>IFERROR((원본데이터!D21-원본데이터!C21)/원본데이터!C21,"-")</f>
        <v>0.10880093313642895</v>
      </c>
    </row>
    <row r="49" spans="1:4" x14ac:dyDescent="0.4">
      <c r="A49" s="2" t="s">
        <v>43</v>
      </c>
      <c r="B49" s="9" t="s">
        <v>54</v>
      </c>
      <c r="C49" s="8">
        <f>IFERROR((원본데이터!C36-원본데이터!B36)/원본데이터!B36,"-")</f>
        <v>1.0201894547163759</v>
      </c>
      <c r="D49" s="8">
        <f>IFERROR((원본데이터!D36-원본데이터!C36)/원본데이터!C36,"-")</f>
        <v>0.4676285061130368</v>
      </c>
    </row>
    <row r="51" spans="1:4" x14ac:dyDescent="0.4">
      <c r="A51" s="4" t="s">
        <v>55</v>
      </c>
      <c r="B51" s="5" t="s">
        <v>20</v>
      </c>
      <c r="C51" s="5" t="s">
        <v>21</v>
      </c>
      <c r="D51" s="5" t="s">
        <v>22</v>
      </c>
    </row>
    <row r="52" spans="1:4" x14ac:dyDescent="0.4">
      <c r="A52" s="2" t="s">
        <v>41</v>
      </c>
      <c r="B52" s="9" t="s">
        <v>54</v>
      </c>
      <c r="C52" s="8">
        <f>IFERROR((원본데이터!C9-원본데이터!B9)/원본데이터!B9,"-")</f>
        <v>-2.8417785790532424</v>
      </c>
      <c r="D52" s="8">
        <f>IFERROR((원본데이터!D9-원본데이터!C9)/원본데이터!C9,"-")</f>
        <v>0.61279434672570832</v>
      </c>
    </row>
    <row r="53" spans="1:4" x14ac:dyDescent="0.4">
      <c r="A53" s="2" t="s">
        <v>42</v>
      </c>
      <c r="B53" s="9" t="s">
        <v>54</v>
      </c>
      <c r="C53" s="8">
        <f>IFERROR((원본데이터!C24-원본데이터!B24)/원본데이터!B24,"-")</f>
        <v>3.9834141315576606</v>
      </c>
      <c r="D53" s="8">
        <f>IFERROR((원본데이터!D24-원본데이터!C24)/원본데이터!C24,"-")</f>
        <v>0.33230773574533073</v>
      </c>
    </row>
    <row r="54" spans="1:4" x14ac:dyDescent="0.4">
      <c r="A54" s="2" t="s">
        <v>43</v>
      </c>
      <c r="B54" s="9" t="s">
        <v>54</v>
      </c>
      <c r="C54" s="8">
        <f>IFERROR((원본데이터!C39-원본데이터!B39)/원본데이터!B39,"-")</f>
        <v>-4.035752756712438</v>
      </c>
      <c r="D54" s="8">
        <f>IFERROR((원본데이터!D39-원본데이터!C39)/원본데이터!C39,"-")</f>
        <v>1.0115769935202228</v>
      </c>
    </row>
    <row r="56" spans="1:4" x14ac:dyDescent="0.4">
      <c r="A56" s="4" t="s">
        <v>56</v>
      </c>
      <c r="B56" s="5" t="s">
        <v>20</v>
      </c>
      <c r="C56" s="5" t="s">
        <v>21</v>
      </c>
      <c r="D56" s="5" t="s">
        <v>22</v>
      </c>
    </row>
    <row r="57" spans="1:4" x14ac:dyDescent="0.4">
      <c r="A57" s="2" t="s">
        <v>41</v>
      </c>
      <c r="B57" s="9" t="s">
        <v>54</v>
      </c>
      <c r="C57" s="8">
        <f>IFERROR((원본데이터!C10-원본데이터!B10)/원본데이터!B10,"-")</f>
        <v>-1.7679935133448004</v>
      </c>
      <c r="D57" s="8">
        <f>IFERROR((원본데이터!D10-원본데이터!C10)/원본데이터!C10,"-")</f>
        <v>1.3928030286297395</v>
      </c>
    </row>
    <row r="58" spans="1:4" x14ac:dyDescent="0.4">
      <c r="A58" s="2" t="s">
        <v>42</v>
      </c>
      <c r="B58" s="9" t="s">
        <v>54</v>
      </c>
      <c r="C58" s="8">
        <f>IFERROR((원본데이터!C25-원본데이터!B25)/원본데이터!B25,"-")</f>
        <v>1.2245191804792375</v>
      </c>
      <c r="D58" s="8">
        <f>IFERROR((원본데이터!D25-원본데이터!C25)/원본데이터!C25,"-")</f>
        <v>0.31219251750098276</v>
      </c>
    </row>
    <row r="59" spans="1:4" x14ac:dyDescent="0.4">
      <c r="A59" s="2" t="s">
        <v>43</v>
      </c>
      <c r="B59" s="9" t="s">
        <v>54</v>
      </c>
      <c r="C59" s="8">
        <f>IFERROR((원본데이터!C40-원본데이터!B40)/원본데이터!B40,"-")</f>
        <v>-3.1665444785126686</v>
      </c>
      <c r="D59" s="8">
        <f>IFERROR((원본데이터!D40-원본데이터!C40)/원본데이터!C40,"-")</f>
        <v>1.1694253979738849</v>
      </c>
    </row>
    <row r="61" spans="1:4" x14ac:dyDescent="0.4">
      <c r="A61" s="4" t="s">
        <v>57</v>
      </c>
      <c r="B61" s="5" t="s">
        <v>20</v>
      </c>
      <c r="C61" s="5" t="s">
        <v>21</v>
      </c>
      <c r="D61" s="5" t="s">
        <v>22</v>
      </c>
    </row>
    <row r="62" spans="1:4" x14ac:dyDescent="0.4">
      <c r="A62" s="2" t="s">
        <v>41</v>
      </c>
      <c r="B62" s="9" t="s">
        <v>54</v>
      </c>
      <c r="C62" s="8">
        <f>IFERROR((원본데이터!C14-원본데이터!B14)/원본데이터!B14,"-")</f>
        <v>2.9588599109780234E-2</v>
      </c>
      <c r="D62" s="8">
        <f>IFERROR((원본데이터!D14-원본데이터!C14)/원본데이터!C14,"-")</f>
        <v>3.2898725909366031E-2</v>
      </c>
    </row>
    <row r="63" spans="1:4" x14ac:dyDescent="0.4">
      <c r="A63" s="2" t="s">
        <v>42</v>
      </c>
      <c r="B63" s="9" t="s">
        <v>54</v>
      </c>
      <c r="C63" s="8">
        <f>IFERROR((원본데이터!C29-원본데이터!B29)/원본데이터!B29,"-")</f>
        <v>0.12859223298628369</v>
      </c>
      <c r="D63" s="8">
        <f>IFERROR((원본데이터!D29-원본데이터!C29)/원본데이터!C29,"-")</f>
        <v>0.10185987906818957</v>
      </c>
    </row>
    <row r="64" spans="1:4" x14ac:dyDescent="0.4">
      <c r="A64" s="2" t="s">
        <v>43</v>
      </c>
      <c r="B64" s="9" t="s">
        <v>54</v>
      </c>
      <c r="C64" s="8">
        <f>IFERROR((원본데이터!C44-원본데이터!B44)/원본데이터!B44,"-")</f>
        <v>0.19460791278475423</v>
      </c>
      <c r="D64" s="8">
        <f>IFERROR((원본데이터!D44-원본데이터!C44)/원본데이터!C44,"-")</f>
        <v>0.46933671443516484</v>
      </c>
    </row>
  </sheetData>
  <mergeCells count="4">
    <mergeCell ref="A45:D45"/>
    <mergeCell ref="A1:D1"/>
    <mergeCell ref="A3:D3"/>
    <mergeCell ref="A29:D29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9"/>
  <sheetViews>
    <sheetView showGridLines="0" workbookViewId="0"/>
  </sheetViews>
  <sheetFormatPr defaultRowHeight="17.399999999999999" x14ac:dyDescent="0.4"/>
  <cols>
    <col min="1" max="1" width="16" customWidth="1"/>
    <col min="2" max="4" width="12" customWidth="1"/>
    <col min="5" max="5" width="4" customWidth="1"/>
    <col min="6" max="6" width="16" customWidth="1"/>
    <col min="7" max="8" width="12" customWidth="1"/>
  </cols>
  <sheetData>
    <row r="1" spans="1:8" ht="18.600000000000001" x14ac:dyDescent="0.4">
      <c r="A1" s="14" t="s">
        <v>58</v>
      </c>
      <c r="B1" s="15"/>
      <c r="C1" s="15"/>
      <c r="D1" s="15"/>
      <c r="E1" s="15"/>
      <c r="F1" s="15"/>
      <c r="G1" s="15"/>
      <c r="H1" s="15"/>
    </row>
    <row r="2" spans="1:8" x14ac:dyDescent="0.4">
      <c r="A2" s="17" t="s">
        <v>59</v>
      </c>
      <c r="B2" s="15"/>
      <c r="C2" s="15"/>
      <c r="D2" s="15"/>
      <c r="E2" s="15"/>
      <c r="F2" s="15"/>
      <c r="G2" s="15"/>
      <c r="H2" s="15"/>
    </row>
    <row r="55" spans="1:8" x14ac:dyDescent="0.4">
      <c r="A55" s="18" t="s">
        <v>60</v>
      </c>
      <c r="B55" s="15"/>
      <c r="C55" s="15"/>
      <c r="D55" s="15"/>
      <c r="E55" s="15"/>
      <c r="F55" s="15"/>
      <c r="G55" s="15"/>
      <c r="H55" s="15"/>
    </row>
    <row r="56" spans="1:8" ht="30" customHeight="1" x14ac:dyDescent="0.4">
      <c r="A56" s="4" t="s">
        <v>61</v>
      </c>
      <c r="B56" s="10" t="s">
        <v>44</v>
      </c>
      <c r="C56" s="10" t="s">
        <v>45</v>
      </c>
      <c r="D56" s="10" t="s">
        <v>47</v>
      </c>
      <c r="E56" s="10" t="s">
        <v>49</v>
      </c>
      <c r="F56" s="10" t="s">
        <v>50</v>
      </c>
      <c r="G56" s="10" t="s">
        <v>53</v>
      </c>
    </row>
    <row r="57" spans="1:8" x14ac:dyDescent="0.4">
      <c r="A57" s="2" t="s">
        <v>41</v>
      </c>
      <c r="B57" s="8">
        <f>비교분석!D10</f>
        <v>0.13846502674871697</v>
      </c>
      <c r="C57" s="8">
        <f>비교분석!D15</f>
        <v>8.8953240022775062E-2</v>
      </c>
      <c r="D57" s="8">
        <f>비교분석!D25</f>
        <v>0.17571246355448694</v>
      </c>
      <c r="E57" s="8">
        <f>비교분석!D31</f>
        <v>4.168536918639731</v>
      </c>
      <c r="F57" s="8">
        <f>비교분석!D36</f>
        <v>0.45770549879083977</v>
      </c>
      <c r="G57" s="8">
        <f>비교분석!D47</f>
        <v>4.3153079668093723E-2</v>
      </c>
    </row>
    <row r="58" spans="1:8" x14ac:dyDescent="0.4">
      <c r="A58" s="2" t="s">
        <v>42</v>
      </c>
      <c r="B58" s="8">
        <f>비교분석!D11</f>
        <v>0.13069626776247609</v>
      </c>
      <c r="C58" s="8">
        <f>비교분석!D16</f>
        <v>0.135509593357418</v>
      </c>
      <c r="D58" s="8">
        <f>비교분석!D26</f>
        <v>0.10360920902937422</v>
      </c>
      <c r="E58" s="8">
        <f>비교분석!D32</f>
        <v>0.29937126904996869</v>
      </c>
      <c r="F58" s="8">
        <f>비교분석!D37</f>
        <v>2.3276146450094779</v>
      </c>
      <c r="G58" s="8">
        <f>비교분석!D48</f>
        <v>0.10880093313642895</v>
      </c>
    </row>
    <row r="59" spans="1:8" x14ac:dyDescent="0.4">
      <c r="A59" s="2" t="s">
        <v>43</v>
      </c>
      <c r="B59" s="8">
        <f>비교분석!D12</f>
        <v>0.48592830377364948</v>
      </c>
      <c r="C59" s="8">
        <f>비교분석!D17</f>
        <v>0.4420933809623438</v>
      </c>
      <c r="D59" s="8">
        <f>비교분석!D27</f>
        <v>0.35592159102717535</v>
      </c>
      <c r="E59" s="8">
        <f>비교분석!D33</f>
        <v>0.4594547175634156</v>
      </c>
      <c r="F59" s="8">
        <f>비교분석!D38</f>
        <v>1.8582111575540052</v>
      </c>
      <c r="G59" s="8">
        <f>비교분석!D49</f>
        <v>0.4676285061130368</v>
      </c>
    </row>
  </sheetData>
  <mergeCells count="3">
    <mergeCell ref="A2:H2"/>
    <mergeCell ref="A55:H55"/>
    <mergeCell ref="A1:H1"/>
  </mergeCells>
  <phoneticPr fontId="9" type="noConversion"/>
  <conditionalFormatting sqref="B57:B5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7:C5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7:D5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7:E5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7:F5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7:G5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4"/>
  <sheetViews>
    <sheetView showGridLines="0" workbookViewId="0"/>
  </sheetViews>
  <sheetFormatPr defaultRowHeight="17.399999999999999" x14ac:dyDescent="0.4"/>
  <cols>
    <col min="1" max="1" width="34" customWidth="1"/>
    <col min="2" max="5" width="16" customWidth="1"/>
  </cols>
  <sheetData>
    <row r="1" spans="1:5" ht="18.600000000000001" x14ac:dyDescent="0.4">
      <c r="A1" s="14" t="s">
        <v>62</v>
      </c>
      <c r="B1" s="15"/>
      <c r="C1" s="15"/>
      <c r="D1" s="15"/>
      <c r="E1" s="15"/>
    </row>
    <row r="2" spans="1:5" x14ac:dyDescent="0.4">
      <c r="A2" s="17" t="s">
        <v>63</v>
      </c>
      <c r="B2" s="15"/>
      <c r="C2" s="15"/>
      <c r="D2" s="15"/>
      <c r="E2" s="15"/>
    </row>
    <row r="3" spans="1:5" ht="16.05" customHeight="1" x14ac:dyDescent="0.4">
      <c r="A3" s="21" t="s">
        <v>64</v>
      </c>
      <c r="B3" s="15"/>
      <c r="C3" s="15"/>
      <c r="D3" s="15"/>
      <c r="E3" s="15"/>
    </row>
    <row r="4" spans="1:5" ht="16.05" customHeight="1" x14ac:dyDescent="0.4">
      <c r="A4" s="19" t="s">
        <v>65</v>
      </c>
      <c r="B4" s="15"/>
      <c r="C4" s="15"/>
      <c r="D4" s="15"/>
      <c r="E4" s="15"/>
    </row>
    <row r="5" spans="1:5" ht="16.05" customHeight="1" x14ac:dyDescent="0.4">
      <c r="A5" s="19" t="s">
        <v>66</v>
      </c>
      <c r="B5" s="15"/>
      <c r="C5" s="15"/>
      <c r="D5" s="15"/>
      <c r="E5" s="15"/>
    </row>
    <row r="6" spans="1:5" ht="16.05" customHeight="1" x14ac:dyDescent="0.4">
      <c r="A6" s="19" t="s">
        <v>67</v>
      </c>
      <c r="B6" s="15"/>
      <c r="C6" s="15"/>
      <c r="D6" s="15"/>
      <c r="E6" s="15"/>
    </row>
    <row r="7" spans="1:5" ht="16.05" customHeight="1" x14ac:dyDescent="0.4">
      <c r="A7" s="19" t="s">
        <v>68</v>
      </c>
      <c r="B7" s="15"/>
      <c r="C7" s="15"/>
      <c r="D7" s="15"/>
      <c r="E7" s="15"/>
    </row>
    <row r="8" spans="1:5" ht="16.05" customHeight="1" x14ac:dyDescent="0.4">
      <c r="A8" s="19" t="s">
        <v>69</v>
      </c>
      <c r="B8" s="15"/>
      <c r="C8" s="15"/>
      <c r="D8" s="15"/>
      <c r="E8" s="15"/>
    </row>
    <row r="10" spans="1:5" x14ac:dyDescent="0.4">
      <c r="A10" s="18" t="s">
        <v>70</v>
      </c>
      <c r="B10" s="15"/>
      <c r="C10" s="15"/>
      <c r="D10" s="15"/>
      <c r="E10" s="15"/>
    </row>
    <row r="12" spans="1:5" x14ac:dyDescent="0.4">
      <c r="A12" s="3" t="s">
        <v>41</v>
      </c>
      <c r="B12" s="20" t="str">
        <f>E24</f>
        <v>요건 미충족 (추정)</v>
      </c>
      <c r="C12" s="15"/>
      <c r="D12" s="15"/>
      <c r="E12" s="15"/>
    </row>
    <row r="13" spans="1:5" x14ac:dyDescent="0.4">
      <c r="A13" s="3" t="s">
        <v>42</v>
      </c>
      <c r="B13" s="20" t="str">
        <f>E34</f>
        <v>분리과세 대상 요건 충족 (추정)</v>
      </c>
      <c r="C13" s="15"/>
      <c r="D13" s="15"/>
      <c r="E13" s="15"/>
    </row>
    <row r="14" spans="1:5" x14ac:dyDescent="0.4">
      <c r="A14" s="3" t="s">
        <v>43</v>
      </c>
      <c r="B14" s="20" t="str">
        <f>E44</f>
        <v>요건 미충족 (추정)</v>
      </c>
      <c r="C14" s="15"/>
      <c r="D14" s="15"/>
      <c r="E14" s="15"/>
    </row>
    <row r="16" spans="1:5" x14ac:dyDescent="0.4">
      <c r="A16" s="16" t="s">
        <v>17</v>
      </c>
      <c r="B16" s="15"/>
      <c r="C16" s="15"/>
      <c r="D16" s="15"/>
      <c r="E16" s="15"/>
    </row>
    <row r="17" spans="1:5" x14ac:dyDescent="0.4">
      <c r="A17" s="17" t="s">
        <v>71</v>
      </c>
      <c r="B17" s="15"/>
      <c r="C17" s="15"/>
      <c r="D17" s="15"/>
      <c r="E17" s="15"/>
    </row>
    <row r="18" spans="1:5" x14ac:dyDescent="0.4">
      <c r="A18" s="4" t="s">
        <v>19</v>
      </c>
      <c r="B18" s="5" t="s">
        <v>72</v>
      </c>
      <c r="C18" s="5" t="s">
        <v>20</v>
      </c>
      <c r="D18" s="5" t="s">
        <v>21</v>
      </c>
      <c r="E18" s="5" t="s">
        <v>22</v>
      </c>
    </row>
    <row r="19" spans="1:5" x14ac:dyDescent="0.4">
      <c r="A19" s="2" t="s">
        <v>73</v>
      </c>
      <c r="B19" s="6" t="s">
        <v>54</v>
      </c>
      <c r="C19" s="6" t="s">
        <v>54</v>
      </c>
      <c r="D19" s="6">
        <v>136738000000</v>
      </c>
      <c r="E19" s="6">
        <v>989909000000</v>
      </c>
    </row>
    <row r="20" spans="1:5" x14ac:dyDescent="0.4">
      <c r="A20" s="2" t="s">
        <v>74</v>
      </c>
      <c r="B20" s="11" t="s">
        <v>54</v>
      </c>
      <c r="C20" s="11" t="s">
        <v>54</v>
      </c>
      <c r="D20" s="11">
        <v>3.9E-2</v>
      </c>
      <c r="E20" s="11">
        <v>0.11600000000000001</v>
      </c>
    </row>
    <row r="21" spans="1:5" x14ac:dyDescent="0.4">
      <c r="A21" s="2" t="s">
        <v>75</v>
      </c>
      <c r="E21" s="12" t="str">
        <f>IF(OR(NOT(ISNUMBER(E19)),NOT(ISNUMBER(D19))),"판단불가",IF(E19&gt;=D19,"충족","미충족"))</f>
        <v>충족</v>
      </c>
    </row>
    <row r="22" spans="1:5" x14ac:dyDescent="0.4">
      <c r="A22" s="2" t="s">
        <v>76</v>
      </c>
      <c r="E22" s="8">
        <f>IFERROR(E19/D19-1,"-")</f>
        <v>6.2394579414646989</v>
      </c>
    </row>
    <row r="23" spans="1:5" x14ac:dyDescent="0.4">
      <c r="A23" s="2" t="s">
        <v>77</v>
      </c>
      <c r="E23" s="12" t="str">
        <f>IF(NOT(ISNUMBER(E20)),"판단불가",IF(E20&gt;=0.4,"충족(40%+)",IF(AND(E20&gt;=0.25,ISNUMBER(E22),E22&gt;=0.1),"충족(25%+ 및 전전사업연도대비10%+증가)","미충족")))</f>
        <v>미충족</v>
      </c>
    </row>
    <row r="24" spans="1:5" x14ac:dyDescent="0.4">
      <c r="A24" s="3" t="s">
        <v>78</v>
      </c>
      <c r="E24" s="13" t="str">
        <f>IF(OR(E21="판단불가",E23="판단불가"),"판단보류(자료부족, 공시 확인 필요)",IF(AND(E21="충족",LEFT(E23,2)="충족"),"분리과세 대상 요건 충족 (추정)","요건 미충족 (추정)"))</f>
        <v>요건 미충족 (추정)</v>
      </c>
    </row>
    <row r="26" spans="1:5" x14ac:dyDescent="0.4">
      <c r="A26" s="16" t="s">
        <v>34</v>
      </c>
      <c r="B26" s="15"/>
      <c r="C26" s="15"/>
      <c r="D26" s="15"/>
      <c r="E26" s="15"/>
    </row>
    <row r="27" spans="1:5" x14ac:dyDescent="0.4">
      <c r="A27" s="17" t="s">
        <v>79</v>
      </c>
      <c r="B27" s="15"/>
      <c r="C27" s="15"/>
      <c r="D27" s="15"/>
      <c r="E27" s="15"/>
    </row>
    <row r="28" spans="1:5" x14ac:dyDescent="0.4">
      <c r="A28" s="4" t="s">
        <v>19</v>
      </c>
      <c r="B28" s="5" t="s">
        <v>72</v>
      </c>
      <c r="C28" s="5" t="s">
        <v>20</v>
      </c>
      <c r="D28" s="5" t="s">
        <v>21</v>
      </c>
      <c r="E28" s="5" t="s">
        <v>22</v>
      </c>
    </row>
    <row r="29" spans="1:5" x14ac:dyDescent="0.4">
      <c r="A29" s="2" t="s">
        <v>73</v>
      </c>
      <c r="B29" s="6">
        <v>9809438000000</v>
      </c>
      <c r="C29" s="6">
        <v>9809438000000</v>
      </c>
      <c r="D29" s="6">
        <v>9810767000000</v>
      </c>
      <c r="E29" s="6">
        <v>11107906000000</v>
      </c>
    </row>
    <row r="30" spans="1:5" x14ac:dyDescent="0.4">
      <c r="A30" s="2" t="s">
        <v>74</v>
      </c>
      <c r="B30" s="11">
        <v>0.17899999999999999</v>
      </c>
      <c r="C30" s="11">
        <v>0.67799999999999994</v>
      </c>
      <c r="D30" s="11">
        <v>0.29199999999999998</v>
      </c>
      <c r="E30" s="11">
        <v>0.251</v>
      </c>
    </row>
    <row r="31" spans="1:5" x14ac:dyDescent="0.4">
      <c r="A31" s="2" t="s">
        <v>75</v>
      </c>
      <c r="E31" s="12" t="str">
        <f>IF(OR(NOT(ISNUMBER(E29)),NOT(ISNUMBER(D29))),"판단불가",IF(E29&gt;=D29,"충족","미충족"))</f>
        <v>충족</v>
      </c>
    </row>
    <row r="32" spans="1:5" x14ac:dyDescent="0.4">
      <c r="A32" s="2" t="s">
        <v>76</v>
      </c>
      <c r="E32" s="8">
        <f>IFERROR(E29/D29-1,"-")</f>
        <v>0.1322158603909358</v>
      </c>
    </row>
    <row r="33" spans="1:5" x14ac:dyDescent="0.4">
      <c r="A33" s="2" t="s">
        <v>77</v>
      </c>
      <c r="E33" s="12" t="str">
        <f>IF(NOT(ISNUMBER(E30)),"판단불가",IF(E30&gt;=0.4,"충족(40%+)",IF(AND(E30&gt;=0.25,ISNUMBER(E32),E32&gt;=0.1),"충족(25%+ 및 전전사업연도대비10%+증가)","미충족")))</f>
        <v>충족(25%+ 및 전전사업연도대비10%+증가)</v>
      </c>
    </row>
    <row r="34" spans="1:5" x14ac:dyDescent="0.4">
      <c r="A34" s="3" t="s">
        <v>78</v>
      </c>
      <c r="E34" s="13" t="str">
        <f>IF(OR(E31="판단불가",E33="판단불가"),"판단보류(자료부족, 공시 확인 필요)",IF(AND(E31="충족",LEFT(E33,2)="충족"),"분리과세 대상 요건 충족 (추정)","요건 미충족 (추정)"))</f>
        <v>분리과세 대상 요건 충족 (추정)</v>
      </c>
    </row>
    <row r="36" spans="1:5" x14ac:dyDescent="0.4">
      <c r="A36" s="16" t="s">
        <v>36</v>
      </c>
      <c r="B36" s="15"/>
      <c r="C36" s="15"/>
      <c r="D36" s="15"/>
      <c r="E36" s="15"/>
    </row>
    <row r="37" spans="1:5" x14ac:dyDescent="0.4">
      <c r="A37" s="17" t="s">
        <v>80</v>
      </c>
      <c r="B37" s="15"/>
      <c r="C37" s="15"/>
      <c r="D37" s="15"/>
      <c r="E37" s="15"/>
    </row>
    <row r="38" spans="1:5" x14ac:dyDescent="0.4">
      <c r="A38" s="4" t="s">
        <v>19</v>
      </c>
      <c r="B38" s="5" t="s">
        <v>72</v>
      </c>
      <c r="C38" s="5" t="s">
        <v>20</v>
      </c>
      <c r="D38" s="5" t="s">
        <v>21</v>
      </c>
      <c r="E38" s="5" t="s">
        <v>22</v>
      </c>
    </row>
    <row r="39" spans="1:5" x14ac:dyDescent="0.4">
      <c r="A39" s="2" t="s">
        <v>73</v>
      </c>
      <c r="B39" s="6">
        <v>825181000000</v>
      </c>
      <c r="C39" s="6">
        <v>825721000000</v>
      </c>
      <c r="D39" s="6">
        <v>1520090000000</v>
      </c>
      <c r="E39" s="6">
        <v>2095133000000</v>
      </c>
    </row>
    <row r="40" spans="1:5" x14ac:dyDescent="0.4">
      <c r="A40" s="2" t="s">
        <v>74</v>
      </c>
      <c r="B40" s="11">
        <v>0.37</v>
      </c>
      <c r="C40" s="11" t="s">
        <v>54</v>
      </c>
      <c r="D40" s="11">
        <v>7.6999999999999999E-2</v>
      </c>
      <c r="E40" s="11">
        <v>4.9000000000000002E-2</v>
      </c>
    </row>
    <row r="41" spans="1:5" x14ac:dyDescent="0.4">
      <c r="A41" s="2" t="s">
        <v>75</v>
      </c>
      <c r="E41" s="12" t="str">
        <f>IF(OR(NOT(ISNUMBER(E39)),NOT(ISNUMBER(D39))),"판단불가",IF(E39&gt;=D39,"충족","미충족"))</f>
        <v>충족</v>
      </c>
    </row>
    <row r="42" spans="1:5" x14ac:dyDescent="0.4">
      <c r="A42" s="2" t="s">
        <v>76</v>
      </c>
      <c r="E42" s="8">
        <f>IFERROR(E39/D39-1,"-")</f>
        <v>0.37829536409028419</v>
      </c>
    </row>
    <row r="43" spans="1:5" x14ac:dyDescent="0.4">
      <c r="A43" s="2" t="s">
        <v>77</v>
      </c>
      <c r="E43" s="12" t="str">
        <f>IF(NOT(ISNUMBER(E40)),"판단불가",IF(E40&gt;=0.4,"충족(40%+)",IF(AND(E40&gt;=0.25,ISNUMBER(E42),E42&gt;=0.1),"충족(25%+ 및 전전사업연도대비10%+증가)","미충족")))</f>
        <v>미충족</v>
      </c>
    </row>
    <row r="44" spans="1:5" x14ac:dyDescent="0.4">
      <c r="A44" s="3" t="s">
        <v>78</v>
      </c>
      <c r="E44" s="13" t="str">
        <f>IF(OR(E41="판단불가",E43="판단불가"),"판단보류(자료부족, 공시 확인 필요)",IF(AND(E41="충족",LEFT(E43,2)="충족"),"분리과세 대상 요건 충족 (추정)","요건 미충족 (추정)"))</f>
        <v>요건 미충족 (추정)</v>
      </c>
    </row>
  </sheetData>
  <mergeCells count="18">
    <mergeCell ref="A10:E10"/>
    <mergeCell ref="B13:E13"/>
    <mergeCell ref="A1:E1"/>
    <mergeCell ref="A5:E5"/>
    <mergeCell ref="A37:E37"/>
    <mergeCell ref="A36:E36"/>
    <mergeCell ref="A8:E8"/>
    <mergeCell ref="A6:E6"/>
    <mergeCell ref="A17:E17"/>
    <mergeCell ref="A27:E27"/>
    <mergeCell ref="B14:E14"/>
    <mergeCell ref="A3:E3"/>
    <mergeCell ref="A4:E4"/>
    <mergeCell ref="A26:E26"/>
    <mergeCell ref="A2:E2"/>
    <mergeCell ref="A16:E16"/>
    <mergeCell ref="B12:E12"/>
    <mergeCell ref="A7:E7"/>
  </mergeCells>
  <phoneticPr fontId="9" type="noConversion"/>
  <conditionalFormatting sqref="B12:B14">
    <cfRule type="expression" dxfId="11" priority="1">
      <formula>ISNUMBER(SEARCH("대상 요건 충족",B12))</formula>
    </cfRule>
    <cfRule type="expression" dxfId="10" priority="2">
      <formula>ISNUMBER(SEARCH("판단보류",B12))</formula>
    </cfRule>
    <cfRule type="expression" dxfId="9" priority="3">
      <formula>ISNUMBER(SEARCH("요건 미충족",B12))</formula>
    </cfRule>
  </conditionalFormatting>
  <conditionalFormatting sqref="E24">
    <cfRule type="expression" dxfId="8" priority="10">
      <formula>ISNUMBER(SEARCH("대상 요건 충족",E24))</formula>
    </cfRule>
    <cfRule type="expression" dxfId="7" priority="11">
      <formula>ISNUMBER(SEARCH("판단보류",E24))</formula>
    </cfRule>
    <cfRule type="expression" dxfId="6" priority="12">
      <formula>ISNUMBER(SEARCH("요건 미충족",E24))</formula>
    </cfRule>
  </conditionalFormatting>
  <conditionalFormatting sqref="E34">
    <cfRule type="expression" dxfId="5" priority="13">
      <formula>ISNUMBER(SEARCH("대상 요건 충족",E34))</formula>
    </cfRule>
    <cfRule type="expression" dxfId="4" priority="14">
      <formula>ISNUMBER(SEARCH("판단보류",E34))</formula>
    </cfRule>
    <cfRule type="expression" dxfId="3" priority="15">
      <formula>ISNUMBER(SEARCH("요건 미충족",E34))</formula>
    </cfRule>
  </conditionalFormatting>
  <conditionalFormatting sqref="E44">
    <cfRule type="expression" dxfId="2" priority="16">
      <formula>ISNUMBER(SEARCH("대상 요건 충족",E44))</formula>
    </cfRule>
    <cfRule type="expression" dxfId="1" priority="17">
      <formula>ISNUMBER(SEARCH("판단보류",E44))</formula>
    </cfRule>
    <cfRule type="expression" dxfId="0" priority="18">
      <formula>ISNUMBER(SEARCH("요건 미충족",E44))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사용안내</vt:lpstr>
      <vt:lpstr>원본데이터</vt:lpstr>
      <vt:lpstr>비교분석</vt:lpstr>
      <vt:lpstr>대시보드</vt:lpstr>
      <vt:lpstr>분리과세판정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지한 김</cp:lastModifiedBy>
  <dcterms:created xsi:type="dcterms:W3CDTF">2026-07-17T13:02:00Z</dcterms:created>
  <dcterms:modified xsi:type="dcterms:W3CDTF">2026-07-17T13:03:46Z</dcterms:modified>
</cp:coreProperties>
</file>
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원본데이터" sheetId="2" state="visible" r:id="rId2"/>
    <sheet name="비교분석" sheetId="3" state="visible" r:id="rId3"/>
    <sheet name="대시보드" sheetId="4" state="visible" r:id="rId4"/>
    <sheet name="분리과세판정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-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000000"/>
    </font>
    <font>
      <name val="Arial"/>
      <b val="1"/>
    </font>
    <font>
      <name val="Arial"/>
      <b val="1"/>
      <color rgb="00FFFFFF"/>
    </font>
    <font>
      <name val="Arial"/>
      <i val="1"/>
      <color rgb="00808080"/>
    </font>
    <font>
      <name val="Arial"/>
      <color rgb="000000FF"/>
    </font>
    <font>
      <name val="Arial"/>
      <b val="1"/>
      <color rgb="00C00000"/>
    </font>
    <font>
      <name val="Arial"/>
      <color rgb="007F6000"/>
      <sz val="10.5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203864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164" fontId="6" fillId="0" borderId="1" pivotButton="0" quotePrefix="0" xfId="0"/>
    <xf numFmtId="164" fontId="2" fillId="0" borderId="1" pivotButton="0" quotePrefix="0" xfId="0"/>
    <xf numFmtId="0" fontId="3" fillId="4" borderId="0" pivotButton="0" quotePrefix="0" xfId="0"/>
    <xf numFmtId="165" fontId="2" fillId="0" borderId="1" pivotButton="0" quotePrefix="0" xfId="0"/>
    <xf numFmtId="0" fontId="0" fillId="0" borderId="1" applyAlignment="1" pivotButton="0" quotePrefix="0" xfId="0">
      <alignment horizontal="center"/>
    </xf>
    <xf numFmtId="0" fontId="4" fillId="3" borderId="0" applyAlignment="1" pivotButton="0" quotePrefix="0" xfId="0">
      <alignment horizontal="center" wrapText="1"/>
    </xf>
    <xf numFmtId="0" fontId="7" fillId="5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165" fontId="6" fillId="0" borderId="1" pivotButton="0" quotePrefix="0" xfId="0"/>
    <xf numFmtId="0" fontId="2" fillId="0" borderId="1" pivotButton="0" quotePrefix="0" xfId="0"/>
    <xf numFmtId="0" fontId="3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매출액 추이 (원)</a:t>
            </a:r>
          </a:p>
        </rich>
      </tx>
    </title>
    <plotArea>
      <lineChart>
        <grouping val="standard"/>
        <ser>
          <idx val="0"/>
          <order val="0"/>
          <tx>
            <v>한국전력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'원본데이터'!$B$5:$D$5</f>
            </numRef>
          </cat>
          <val>
            <numRef>
              <f>'원본데이터'!$B$6:$D$6</f>
            </numRef>
          </val>
          <smooth val="0"/>
        </ser>
        <ser>
          <idx val="1"/>
          <order val="1"/>
          <tx>
            <v>삼성전자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'원본데이터'!$B$5:$D$5</f>
            </numRef>
          </cat>
          <val>
            <numRef>
              <f>'원본데이터'!$B$21:$D$21</f>
            </numRef>
          </val>
          <smooth val="0"/>
        </ser>
        <ser>
          <idx val="2"/>
          <order val="2"/>
          <tx>
            <v>SK하이닉스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'원본데이터'!$B$5:$D$5</f>
            </numRef>
          </cat>
          <val>
            <numRef>
              <f>'원본데이터'!$B$36:$D$36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영업이익 추이 (원)</a:t>
            </a:r>
          </a:p>
        </rich>
      </tx>
    </title>
    <plotArea>
      <lineChart>
        <grouping val="standard"/>
        <ser>
          <idx val="0"/>
          <order val="0"/>
          <tx>
            <v>한국전력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'원본데이터'!$B$5:$D$5</f>
            </numRef>
          </cat>
          <val>
            <numRef>
              <f>'원본데이터'!$B$9:$D$9</f>
            </numRef>
          </val>
          <smooth val="0"/>
        </ser>
        <ser>
          <idx val="1"/>
          <order val="1"/>
          <tx>
            <v>삼성전자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'원본데이터'!$B$5:$D$5</f>
            </numRef>
          </cat>
          <val>
            <numRef>
              <f>'원본데이터'!$B$24:$D$24</f>
            </numRef>
          </val>
          <smooth val="0"/>
        </ser>
        <ser>
          <idx val="2"/>
          <order val="2"/>
          <tx>
            <v>SK하이닉스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'원본데이터'!$B$5:$D$5</f>
            </numRef>
          </cat>
          <val>
            <numRef>
              <f>'원본데이터'!$B$39:$D$39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당기순이익 추이 (원)</a:t>
            </a:r>
          </a:p>
        </rich>
      </tx>
    </title>
    <plotArea>
      <lineChart>
        <grouping val="standard"/>
        <ser>
          <idx val="0"/>
          <order val="0"/>
          <tx>
            <v>한국전력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'원본데이터'!$B$5:$D$5</f>
            </numRef>
          </cat>
          <val>
            <numRef>
              <f>'원본데이터'!$B$10:$D$10</f>
            </numRef>
          </val>
          <smooth val="0"/>
        </ser>
        <ser>
          <idx val="1"/>
          <order val="1"/>
          <tx>
            <v>삼성전자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'원본데이터'!$B$5:$D$5</f>
            </numRef>
          </cat>
          <val>
            <numRef>
              <f>'원본데이터'!$B$25:$D$25</f>
            </numRef>
          </val>
          <smooth val="0"/>
        </ser>
        <ser>
          <idx val="2"/>
          <order val="2"/>
          <tx>
            <v>SK하이닉스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'원본데이터'!$B$5:$D$5</f>
            </numRef>
          </cat>
          <val>
            <numRef>
              <f>'원본데이터'!$B$40:$D$40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ROE 비교 (%)</a:t>
            </a:r>
          </a:p>
        </rich>
      </tx>
    </title>
    <plotArea>
      <barChart>
        <barDir val="col"/>
        <grouping val="clustered"/>
        <ser>
          <idx val="0"/>
          <order val="0"/>
          <tx>
            <v>한국전력</v>
          </tx>
          <spPr>
            <a:ln>
              <a:prstDash val="solid"/>
            </a:ln>
          </spPr>
          <cat>
            <numRef>
              <f>'비교분석'!$B$24:$D$24</f>
            </numRef>
          </cat>
          <val>
            <numRef>
              <f>'비교분석'!$B$25:$D$25</f>
            </numRef>
          </val>
        </ser>
        <ser>
          <idx val="1"/>
          <order val="1"/>
          <tx>
            <v>삼성전자</v>
          </tx>
          <spPr>
            <a:ln>
              <a:prstDash val="solid"/>
            </a:ln>
          </spPr>
          <cat>
            <numRef>
              <f>'비교분석'!$B$24:$D$24</f>
            </numRef>
          </cat>
          <val>
            <numRef>
              <f>'비교분석'!$B$26:$D$26</f>
            </numRef>
          </val>
        </ser>
        <ser>
          <idx val="2"/>
          <order val="2"/>
          <tx>
            <v>SK하이닉스</v>
          </tx>
          <spPr>
            <a:ln>
              <a:prstDash val="solid"/>
            </a:ln>
          </spPr>
          <cat>
            <numRef>
              <f>'비교분석'!$B$24:$D$24</f>
            </numRef>
          </cat>
          <val>
            <numRef>
              <f>'비교분석'!$B$27:$D$27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부채비율 비교 (%)</a:t>
            </a:r>
          </a:p>
        </rich>
      </tx>
    </title>
    <plotArea>
      <barChart>
        <barDir val="col"/>
        <grouping val="clustered"/>
        <ser>
          <idx val="0"/>
          <order val="0"/>
          <tx>
            <v>한국전력</v>
          </tx>
          <spPr>
            <a:ln>
              <a:prstDash val="solid"/>
            </a:ln>
          </spPr>
          <cat>
            <numRef>
              <f>'비교분석'!$B$30:$D$30</f>
            </numRef>
          </cat>
          <val>
            <numRef>
              <f>'비교분석'!$B$31:$D$31</f>
            </numRef>
          </val>
        </ser>
        <ser>
          <idx val="1"/>
          <order val="1"/>
          <tx>
            <v>삼성전자</v>
          </tx>
          <spPr>
            <a:ln>
              <a:prstDash val="solid"/>
            </a:ln>
          </spPr>
          <cat>
            <numRef>
              <f>'비교분석'!$B$30:$D$30</f>
            </numRef>
          </cat>
          <val>
            <numRef>
              <f>'비교분석'!$B$32:$D$32</f>
            </numRef>
          </val>
        </ser>
        <ser>
          <idx val="2"/>
          <order val="2"/>
          <tx>
            <v>SK하이닉스</v>
          </tx>
          <spPr>
            <a:ln>
              <a:prstDash val="solid"/>
            </a:ln>
          </spPr>
          <cat>
            <numRef>
              <f>'비교분석'!$B$30:$D$30</f>
            </numRef>
          </cat>
          <val>
            <numRef>
              <f>'비교분석'!$B$33:$D$33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영업이익률 비교 (%)</a:t>
            </a:r>
          </a:p>
        </rich>
      </tx>
    </title>
    <plotArea>
      <barChart>
        <barDir val="col"/>
        <grouping val="clustered"/>
        <ser>
          <idx val="0"/>
          <order val="0"/>
          <tx>
            <v>한국전력</v>
          </tx>
          <spPr>
            <a:ln>
              <a:prstDash val="solid"/>
            </a:ln>
          </spPr>
          <cat>
            <numRef>
              <f>'비교분석'!$B$9:$D$9</f>
            </numRef>
          </cat>
          <val>
            <numRef>
              <f>'비교분석'!$B$10:$D$10</f>
            </numRef>
          </val>
        </ser>
        <ser>
          <idx val="1"/>
          <order val="1"/>
          <tx>
            <v>삼성전자</v>
          </tx>
          <spPr>
            <a:ln>
              <a:prstDash val="solid"/>
            </a:ln>
          </spPr>
          <cat>
            <numRef>
              <f>'비교분석'!$B$9:$D$9</f>
            </numRef>
          </cat>
          <val>
            <numRef>
              <f>'비교분석'!$B$11:$D$11</f>
            </numRef>
          </val>
        </ser>
        <ser>
          <idx val="2"/>
          <order val="2"/>
          <tx>
            <v>SK하이닉스</v>
          </tx>
          <spPr>
            <a:ln>
              <a:prstDash val="solid"/>
            </a:ln>
          </spPr>
          <cat>
            <numRef>
              <f>'비교분석'!$B$9:$D$9</f>
            </numRef>
          </cat>
          <val>
            <numRef>
              <f>'비교분석'!$B$12:$D$12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20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37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3개 기업 재무제표 비교분석기 + 배당소득 분리과세 대상 판정</t>
        </is>
      </c>
    </row>
    <row r="2">
      <c r="A2" s="2" t="inlineStr"/>
    </row>
    <row r="3">
      <c r="A3" s="3" t="inlineStr">
        <is>
          <t>1. 데이터 출처</t>
        </is>
      </c>
    </row>
    <row r="4">
      <c r="A4" s="2" t="inlineStr">
        <is>
          <t xml:space="preserve">   - 금융감독원 전자공시시스템(DART) Open API (opendart.fss.or.kr)</t>
        </is>
      </c>
    </row>
    <row r="5">
      <c r="A5" s="2" t="inlineStr">
        <is>
          <t xml:space="preserve">   - 재무제표: 각 기업 최신 사업보고서(연간) 기준 연결재무제표(CFS, 미제출 시 별도 OFS)</t>
        </is>
      </c>
    </row>
    <row r="6">
      <c r="A6" s="2" t="inlineStr">
        <is>
          <t xml:space="preserve">   - 배당: DART '배당에 관한 사항(alotMatter)' 공시. 현금배당금총액과 기업이 직접 공시한 (연결)현금배당성향(%)을 함께 사용</t>
        </is>
      </c>
    </row>
    <row r="7">
      <c r="A7" s="2" t="inlineStr"/>
    </row>
    <row r="8">
      <c r="A8" s="3" t="inlineStr">
        <is>
          <t>2. 이 파일의 구성</t>
        </is>
      </c>
    </row>
    <row r="9">
      <c r="A9" s="2" t="inlineStr">
        <is>
          <t xml:space="preserve">   - 원본데이터   : 3개 기업 x 3개년 원본 재무제표 수치</t>
        </is>
      </c>
    </row>
    <row r="10">
      <c r="A10" s="2" t="inlineStr">
        <is>
          <t xml:space="preserve">   - 비교분석     : 수익성/안정성/성장성 지표 자동 계산 비교</t>
        </is>
      </c>
    </row>
    <row r="11">
      <c r="A11" s="2" t="inlineStr">
        <is>
          <t xml:space="preserve">   - 대시보드     : 추이 차트 및 최신연도 요약 스코어카드</t>
        </is>
      </c>
    </row>
    <row r="12">
      <c r="A12" s="2" t="inlineStr">
        <is>
          <t xml:space="preserve">   - 분리과세판정 : 2026년 시행 예정 배당소득 분리과세 특례의 '고배당기업' 요건 충족 여부 추정</t>
        </is>
      </c>
    </row>
    <row r="13">
      <c r="A13" s="2" t="inlineStr"/>
    </row>
    <row r="14">
      <c r="A14" s="3" t="inlineStr">
        <is>
          <t>3. 분리과세판정 시트 관련 중요 안내</t>
        </is>
      </c>
    </row>
    <row r="15">
      <c r="A15" s="2" t="inlineStr">
        <is>
          <t xml:space="preserve">   - 이 시트는 2025년 세제개편안(조세특례제한법 개정, §91의19 신설 논의)에 대한 보도자료·법무법인 뉴스레터를</t>
        </is>
      </c>
    </row>
    <row r="16">
      <c r="A16" s="2" t="inlineStr">
        <is>
          <t xml:space="preserve">     근거로 요건을 구성한 것입니다. 국회 통과 이후 최종 조문·시행령 세부 요건(세율 구간 등)은 다를 수 있습니다.</t>
        </is>
      </c>
    </row>
    <row r="17">
      <c r="A17" s="2" t="inlineStr">
        <is>
          <t xml:space="preserve">   - 반드시 국세청(nts.go.kr)·기획재정부 공식 자료 또는 세무전문가 확인 후 실제 세무 판단에 활용하시기 바랍니다.</t>
        </is>
      </c>
    </row>
    <row r="18">
      <c r="A18" s="2" t="inlineStr">
        <is>
          <t xml:space="preserve">   - 판정 대상은 '기업의 법인세'가 아니라, 그 기업으로부터 배당을 받는 개인 주주가 종합과세 대신</t>
        </is>
      </c>
    </row>
    <row r="19">
      <c r="A19" s="2" t="inlineStr">
        <is>
          <t xml:space="preserve">     분리과세를 신청할 수 있는지 여부입니다.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3개 기업 재무제표 원본 데이터 (단위: 원)</t>
        </is>
      </c>
    </row>
    <row r="3">
      <c r="A3" s="4" t="inlineStr">
        <is>
          <t>■ 한국전력 (한국전력공사)</t>
        </is>
      </c>
    </row>
    <row r="4">
      <c r="A4" s="5" t="inlineStr">
        <is>
          <t>출처: DART Open API, corp_code=00159193, 종목코드=015760, 사업연도=2025(사업보고서), 재무제표구분=CFS(연결)</t>
        </is>
      </c>
    </row>
    <row r="5">
      <c r="A5" s="6" t="inlineStr">
        <is>
          <t>항목</t>
        </is>
      </c>
      <c r="B5" s="7" t="inlineStr">
        <is>
          <t>2023</t>
        </is>
      </c>
      <c r="C5" s="7" t="inlineStr">
        <is>
          <t>2024</t>
        </is>
      </c>
      <c r="D5" s="7" t="inlineStr">
        <is>
          <t>2025</t>
        </is>
      </c>
    </row>
    <row r="6">
      <c r="A6" s="2" t="inlineStr">
        <is>
          <t>매출액</t>
        </is>
      </c>
      <c r="B6" s="8" t="n">
        <v>88219461000000</v>
      </c>
      <c r="C6" s="8" t="n">
        <v>93398896000000</v>
      </c>
      <c r="D6" s="8" t="n">
        <v>97429346000000</v>
      </c>
    </row>
    <row r="7">
      <c r="A7" s="2" t="inlineStr">
        <is>
          <t>매출원가</t>
        </is>
      </c>
      <c r="B7" s="8" t="n">
        <v>89699527000000</v>
      </c>
      <c r="C7" s="8" t="n">
        <v>81964160000000</v>
      </c>
      <c r="D7" s="8" t="n">
        <v>80704812000000</v>
      </c>
    </row>
    <row r="8">
      <c r="A8" s="2" t="inlineStr">
        <is>
          <t>매출총이익</t>
        </is>
      </c>
      <c r="B8" s="9">
        <f>IFERROR(B6-B7,"N/A")</f>
        <v/>
      </c>
      <c r="C8" s="9">
        <f>IFERROR(C6-C7,"N/A")</f>
        <v/>
      </c>
      <c r="D8" s="9">
        <f>IFERROR(D6-D7,"N/A")</f>
        <v/>
      </c>
    </row>
    <row r="9">
      <c r="A9" s="2" t="inlineStr">
        <is>
          <t>영업이익</t>
        </is>
      </c>
      <c r="B9" s="8" t="n">
        <v>-4541648000000</v>
      </c>
      <c r="C9" s="8" t="n">
        <v>8364710000000</v>
      </c>
      <c r="D9" s="8" t="n">
        <v>13490557000000</v>
      </c>
    </row>
    <row r="10">
      <c r="A10" s="2" t="inlineStr">
        <is>
          <t>당기순이익</t>
        </is>
      </c>
      <c r="B10" s="8" t="n">
        <v>-4716144000000</v>
      </c>
      <c r="C10" s="8" t="n">
        <v>3621968000000</v>
      </c>
      <c r="D10" s="8" t="n">
        <v>8666656000000</v>
      </c>
    </row>
    <row r="11">
      <c r="A11" s="2" t="inlineStr">
        <is>
          <t>유동자산</t>
        </is>
      </c>
      <c r="B11" s="8" t="n">
        <v>29536215000000</v>
      </c>
      <c r="C11" s="8" t="n">
        <v>29255205000000</v>
      </c>
      <c r="D11" s="8" t="n">
        <v>30715388000000</v>
      </c>
    </row>
    <row r="12">
      <c r="A12" s="2" t="inlineStr">
        <is>
          <t>재고자산</t>
        </is>
      </c>
      <c r="B12" s="8" t="n">
        <v>8875615000000</v>
      </c>
      <c r="C12" s="8" t="n">
        <v>9769236000000</v>
      </c>
      <c r="D12" s="8" t="n">
        <v>10152724000000</v>
      </c>
    </row>
    <row r="13">
      <c r="A13" s="2" t="inlineStr">
        <is>
          <t>유동부채</t>
        </is>
      </c>
      <c r="B13" s="8" t="n">
        <v>61248421000000</v>
      </c>
      <c r="C13" s="8" t="n">
        <v>63968789000000</v>
      </c>
      <c r="D13" s="8" t="n">
        <v>67107317000000</v>
      </c>
    </row>
    <row r="14">
      <c r="A14" s="2" t="inlineStr">
        <is>
          <t>자산총계</t>
        </is>
      </c>
      <c r="B14" s="8" t="n">
        <v>239714965000000</v>
      </c>
      <c r="C14" s="8" t="n">
        <v>246807795000000</v>
      </c>
      <c r="D14" s="8" t="n">
        <v>254927457000000</v>
      </c>
    </row>
    <row r="15">
      <c r="A15" s="2" t="inlineStr">
        <is>
          <t>부채총계</t>
        </is>
      </c>
      <c r="B15" s="8" t="n">
        <v>202450215000000</v>
      </c>
      <c r="C15" s="8" t="n">
        <v>205444962000000</v>
      </c>
      <c r="D15" s="8" t="n">
        <v>205604513000000</v>
      </c>
    </row>
    <row r="16">
      <c r="A16" s="2" t="inlineStr">
        <is>
          <t>자본총계</t>
        </is>
      </c>
      <c r="B16" s="8" t="n">
        <v>37264750000000</v>
      </c>
      <c r="C16" s="8" t="n">
        <v>41362833000000</v>
      </c>
      <c r="D16" s="8" t="n">
        <v>49322944000000</v>
      </c>
    </row>
    <row r="18">
      <c r="A18" s="4" t="inlineStr">
        <is>
          <t>■ 삼성전자 (삼성전자)</t>
        </is>
      </c>
    </row>
    <row r="19">
      <c r="A19" s="5" t="inlineStr">
        <is>
          <t>출처: DART Open API, corp_code=00126380, 종목코드=005930, 사업연도=2025(사업보고서), 재무제표구분=CFS(연결)</t>
        </is>
      </c>
    </row>
    <row r="20">
      <c r="A20" s="6" t="inlineStr">
        <is>
          <t>항목</t>
        </is>
      </c>
      <c r="B20" s="7" t="inlineStr">
        <is>
          <t>2023</t>
        </is>
      </c>
      <c r="C20" s="7" t="inlineStr">
        <is>
          <t>2024</t>
        </is>
      </c>
      <c r="D20" s="7" t="inlineStr">
        <is>
          <t>2025</t>
        </is>
      </c>
    </row>
    <row r="21">
      <c r="A21" s="2" t="inlineStr">
        <is>
          <t>매출액</t>
        </is>
      </c>
      <c r="B21" s="8" t="n">
        <v>258935494000000</v>
      </c>
      <c r="C21" s="8" t="n">
        <v>300870903000000</v>
      </c>
      <c r="D21" s="8" t="n">
        <v>333605938000000</v>
      </c>
    </row>
    <row r="22">
      <c r="A22" s="2" t="inlineStr">
        <is>
          <t>매출원가</t>
        </is>
      </c>
      <c r="B22" s="8" t="n">
        <v>180388580000000</v>
      </c>
      <c r="C22" s="8" t="n">
        <v>186562268000000</v>
      </c>
      <c r="D22" s="8" t="n">
        <v>202235513000000</v>
      </c>
    </row>
    <row r="23">
      <c r="A23" s="2" t="inlineStr">
        <is>
          <t>매출총이익</t>
        </is>
      </c>
      <c r="B23" s="9">
        <f>IFERROR(B21-B22,"N/A")</f>
        <v/>
      </c>
      <c r="C23" s="9">
        <f>IFERROR(C21-C22,"N/A")</f>
        <v/>
      </c>
      <c r="D23" s="9">
        <f>IFERROR(D21-D22,"N/A")</f>
        <v/>
      </c>
    </row>
    <row r="24">
      <c r="A24" s="2" t="inlineStr">
        <is>
          <t>영업이익</t>
        </is>
      </c>
      <c r="B24" s="8" t="n">
        <v>6566976000000</v>
      </c>
      <c r="C24" s="8" t="n">
        <v>32725961000000</v>
      </c>
      <c r="D24" s="8" t="n">
        <v>43601051000000</v>
      </c>
    </row>
    <row r="25">
      <c r="A25" s="2" t="inlineStr">
        <is>
          <t>당기순이익</t>
        </is>
      </c>
      <c r="B25" s="8" t="n">
        <v>15487100000000</v>
      </c>
      <c r="C25" s="8" t="n">
        <v>34451351000000</v>
      </c>
      <c r="D25" s="8" t="n">
        <v>45206805000000</v>
      </c>
    </row>
    <row r="26">
      <c r="A26" s="2" t="inlineStr">
        <is>
          <t>유동자산</t>
        </is>
      </c>
      <c r="B26" s="8" t="n">
        <v>195936557000000</v>
      </c>
      <c r="C26" s="8" t="n">
        <v>227062266000000</v>
      </c>
      <c r="D26" s="8" t="n">
        <v>247684612000000</v>
      </c>
    </row>
    <row r="27">
      <c r="A27" s="2" t="inlineStr">
        <is>
          <t>재고자산</t>
        </is>
      </c>
      <c r="B27" s="8" t="n">
        <v>51625874000000</v>
      </c>
      <c r="C27" s="8" t="n">
        <v>51754865000000</v>
      </c>
      <c r="D27" s="8" t="n">
        <v>52636828000000</v>
      </c>
    </row>
    <row r="28">
      <c r="A28" s="2" t="inlineStr">
        <is>
          <t>유동부채</t>
        </is>
      </c>
      <c r="B28" s="8" t="n">
        <v>75719452000000</v>
      </c>
      <c r="C28" s="8" t="n">
        <v>93326299000000</v>
      </c>
      <c r="D28" s="8" t="n">
        <v>106411348000000</v>
      </c>
    </row>
    <row r="29">
      <c r="A29" s="2" t="inlineStr">
        <is>
          <t>자산총계</t>
        </is>
      </c>
      <c r="B29" s="8" t="n">
        <v>455905980000000</v>
      </c>
      <c r="C29" s="8" t="n">
        <v>514531948000000</v>
      </c>
      <c r="D29" s="8" t="n">
        <v>566942110000000</v>
      </c>
    </row>
    <row r="30">
      <c r="A30" s="2" t="inlineStr">
        <is>
          <t>부채총계</t>
        </is>
      </c>
      <c r="B30" s="8" t="n">
        <v>92228115000000</v>
      </c>
      <c r="C30" s="8" t="n">
        <v>112339878000000</v>
      </c>
      <c r="D30" s="8" t="n">
        <v>130621773000000</v>
      </c>
    </row>
    <row r="31">
      <c r="A31" s="2" t="inlineStr">
        <is>
          <t>자본총계</t>
        </is>
      </c>
      <c r="B31" s="8" t="n">
        <v>363677865000000</v>
      </c>
      <c r="C31" s="8" t="n">
        <v>402192070000000</v>
      </c>
      <c r="D31" s="8" t="n">
        <v>436320337000000</v>
      </c>
    </row>
    <row r="33">
      <c r="A33" s="4" t="inlineStr">
        <is>
          <t>■ SK하이닉스 (SK하이닉스)</t>
        </is>
      </c>
    </row>
    <row r="34">
      <c r="A34" s="5" t="inlineStr">
        <is>
          <t>출처: DART Open API, corp_code=00164779, 종목코드=000660, 사업연도=2025(사업보고서), 재무제표구분=CFS(연결)</t>
        </is>
      </c>
    </row>
    <row r="35">
      <c r="A35" s="6" t="inlineStr">
        <is>
          <t>항목</t>
        </is>
      </c>
      <c r="B35" s="7" t="inlineStr">
        <is>
          <t>2023</t>
        </is>
      </c>
      <c r="C35" s="7" t="inlineStr">
        <is>
          <t>2024</t>
        </is>
      </c>
      <c r="D35" s="7" t="inlineStr">
        <is>
          <t>2025</t>
        </is>
      </c>
    </row>
    <row r="36">
      <c r="A36" s="2" t="inlineStr">
        <is>
          <t>매출액</t>
        </is>
      </c>
      <c r="B36" s="8" t="n">
        <v>32765719000000</v>
      </c>
      <c r="C36" s="8" t="n">
        <v>66192960000000</v>
      </c>
      <c r="D36" s="8" t="n">
        <v>97146675000000</v>
      </c>
    </row>
    <row r="37">
      <c r="A37" s="2" t="inlineStr">
        <is>
          <t>매출원가</t>
        </is>
      </c>
      <c r="B37" s="8" t="n">
        <v>33299167000000</v>
      </c>
      <c r="C37" s="8" t="n">
        <v>34364814000000</v>
      </c>
      <c r="D37" s="8" t="n">
        <v>38455885000000</v>
      </c>
    </row>
    <row r="38">
      <c r="A38" s="2" t="inlineStr">
        <is>
          <t>매출총이익</t>
        </is>
      </c>
      <c r="B38" s="9">
        <f>IFERROR(B36-B37,"N/A")</f>
        <v/>
      </c>
      <c r="C38" s="9">
        <f>IFERROR(C36-C37,"N/A")</f>
        <v/>
      </c>
      <c r="D38" s="9">
        <f>IFERROR(D36-D37,"N/A")</f>
        <v/>
      </c>
    </row>
    <row r="39">
      <c r="A39" s="2" t="inlineStr">
        <is>
          <t>영업이익</t>
        </is>
      </c>
      <c r="B39" s="8" t="n">
        <v>-7730313000000</v>
      </c>
      <c r="C39" s="8" t="n">
        <v>23467319000000</v>
      </c>
      <c r="D39" s="8" t="n">
        <v>47206319000000</v>
      </c>
    </row>
    <row r="40">
      <c r="A40" s="2" t="inlineStr">
        <is>
          <t>당기순이익</t>
        </is>
      </c>
      <c r="B40" s="8" t="n">
        <v>-9137547000000</v>
      </c>
      <c r="C40" s="8" t="n">
        <v>19796902000000</v>
      </c>
      <c r="D40" s="8" t="n">
        <v>42947902000000</v>
      </c>
    </row>
    <row r="41">
      <c r="A41" s="2" t="inlineStr">
        <is>
          <t>유동자산</t>
        </is>
      </c>
      <c r="B41" s="8" t="n">
        <v>30468100000000</v>
      </c>
      <c r="C41" s="8" t="n">
        <v>42278887000000</v>
      </c>
      <c r="D41" s="8" t="n">
        <v>69458073000000</v>
      </c>
    </row>
    <row r="42">
      <c r="A42" s="2" t="inlineStr">
        <is>
          <t>재고자산</t>
        </is>
      </c>
      <c r="B42" s="8" t="n">
        <v>13480659000000</v>
      </c>
      <c r="C42" s="8" t="n">
        <v>13313937000000</v>
      </c>
      <c r="D42" s="8" t="n">
        <v>14289390000000</v>
      </c>
    </row>
    <row r="43">
      <c r="A43" s="2" t="inlineStr">
        <is>
          <t>유동부채</t>
        </is>
      </c>
      <c r="B43" s="8" t="n">
        <v>21007810000000</v>
      </c>
      <c r="C43" s="8" t="n">
        <v>24965444000000</v>
      </c>
      <c r="D43" s="8" t="n">
        <v>37378999000000</v>
      </c>
    </row>
    <row r="44">
      <c r="A44" s="2" t="inlineStr">
        <is>
          <t>자산총계</t>
        </is>
      </c>
      <c r="B44" s="8" t="n">
        <v>100330165000000</v>
      </c>
      <c r="C44" s="8" t="n">
        <v>119855209000000</v>
      </c>
      <c r="D44" s="8" t="n">
        <v>176107659000000</v>
      </c>
    </row>
    <row r="45">
      <c r="A45" s="2" t="inlineStr">
        <is>
          <t>부채총계</t>
        </is>
      </c>
      <c r="B45" s="8" t="n">
        <v>46826413000000</v>
      </c>
      <c r="C45" s="8" t="n">
        <v>45939505000000</v>
      </c>
      <c r="D45" s="8" t="n">
        <v>55440908000000</v>
      </c>
    </row>
    <row r="46">
      <c r="A46" s="2" t="inlineStr">
        <is>
          <t>자본총계</t>
        </is>
      </c>
      <c r="B46" s="8" t="n">
        <v>53503752000000</v>
      </c>
      <c r="C46" s="8" t="n">
        <v>73915704000000</v>
      </c>
      <c r="D46" s="8" t="n">
        <v>120666751000000</v>
      </c>
    </row>
  </sheetData>
  <mergeCells count="7">
    <mergeCell ref="A1:D1"/>
    <mergeCell ref="A18:D18"/>
    <mergeCell ref="A34:D34"/>
    <mergeCell ref="A4:D4"/>
    <mergeCell ref="A3:D3"/>
    <mergeCell ref="A19:D19"/>
    <mergeCell ref="A33:D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3개 기업 재무비율 비교분석</t>
        </is>
      </c>
    </row>
    <row r="3">
      <c r="A3" s="10" t="inlineStr">
        <is>
          <t>[ 수익성 지표 ]</t>
        </is>
      </c>
    </row>
    <row r="4">
      <c r="A4" s="6" t="inlineStr">
        <is>
          <t>매출총이익률</t>
        </is>
      </c>
      <c r="B4" s="7" t="inlineStr">
        <is>
          <t>2023</t>
        </is>
      </c>
      <c r="C4" s="7" t="inlineStr">
        <is>
          <t>2024</t>
        </is>
      </c>
      <c r="D4" s="7" t="inlineStr">
        <is>
          <t>2025</t>
        </is>
      </c>
    </row>
    <row r="5">
      <c r="A5" s="2" t="inlineStr">
        <is>
          <t>한국전력</t>
        </is>
      </c>
      <c r="B5" s="11">
        <f>IFERROR('원본데이터'!B8/'원본데이터'!B6,"-")</f>
        <v/>
      </c>
      <c r="C5" s="11">
        <f>IFERROR('원본데이터'!C8/'원본데이터'!C6,"-")</f>
        <v/>
      </c>
      <c r="D5" s="11">
        <f>IFERROR('원본데이터'!D8/'원본데이터'!D6,"-")</f>
        <v/>
      </c>
    </row>
    <row r="6">
      <c r="A6" s="2" t="inlineStr">
        <is>
          <t>삼성전자</t>
        </is>
      </c>
      <c r="B6" s="11">
        <f>IFERROR('원본데이터'!B23/'원본데이터'!B21,"-")</f>
        <v/>
      </c>
      <c r="C6" s="11">
        <f>IFERROR('원본데이터'!C23/'원본데이터'!C21,"-")</f>
        <v/>
      </c>
      <c r="D6" s="11">
        <f>IFERROR('원본데이터'!D23/'원본데이터'!D21,"-")</f>
        <v/>
      </c>
    </row>
    <row r="7">
      <c r="A7" s="2" t="inlineStr">
        <is>
          <t>SK하이닉스</t>
        </is>
      </c>
      <c r="B7" s="11">
        <f>IFERROR('원본데이터'!B38/'원본데이터'!B36,"-")</f>
        <v/>
      </c>
      <c r="C7" s="11">
        <f>IFERROR('원본데이터'!C38/'원본데이터'!C36,"-")</f>
        <v/>
      </c>
      <c r="D7" s="11">
        <f>IFERROR('원본데이터'!D38/'원본데이터'!D36,"-")</f>
        <v/>
      </c>
    </row>
    <row r="9">
      <c r="A9" s="6" t="inlineStr">
        <is>
          <t>영업이익률</t>
        </is>
      </c>
      <c r="B9" s="7" t="inlineStr">
        <is>
          <t>2023</t>
        </is>
      </c>
      <c r="C9" s="7" t="inlineStr">
        <is>
          <t>2024</t>
        </is>
      </c>
      <c r="D9" s="7" t="inlineStr">
        <is>
          <t>2025</t>
        </is>
      </c>
    </row>
    <row r="10">
      <c r="A10" s="2" t="inlineStr">
        <is>
          <t>한국전력</t>
        </is>
      </c>
      <c r="B10" s="11">
        <f>IFERROR('원본데이터'!B9/'원본데이터'!B6,"-")</f>
        <v/>
      </c>
      <c r="C10" s="11">
        <f>IFERROR('원본데이터'!C9/'원본데이터'!C6,"-")</f>
        <v/>
      </c>
      <c r="D10" s="11">
        <f>IFERROR('원본데이터'!D9/'원본데이터'!D6,"-")</f>
        <v/>
      </c>
    </row>
    <row r="11">
      <c r="A11" s="2" t="inlineStr">
        <is>
          <t>삼성전자</t>
        </is>
      </c>
      <c r="B11" s="11">
        <f>IFERROR('원본데이터'!B24/'원본데이터'!B21,"-")</f>
        <v/>
      </c>
      <c r="C11" s="11">
        <f>IFERROR('원본데이터'!C24/'원본데이터'!C21,"-")</f>
        <v/>
      </c>
      <c r="D11" s="11">
        <f>IFERROR('원본데이터'!D24/'원본데이터'!D21,"-")</f>
        <v/>
      </c>
    </row>
    <row r="12">
      <c r="A12" s="2" t="inlineStr">
        <is>
          <t>SK하이닉스</t>
        </is>
      </c>
      <c r="B12" s="11">
        <f>IFERROR('원본데이터'!B39/'원본데이터'!B36,"-")</f>
        <v/>
      </c>
      <c r="C12" s="11">
        <f>IFERROR('원본데이터'!C39/'원본데이터'!C36,"-")</f>
        <v/>
      </c>
      <c r="D12" s="11">
        <f>IFERROR('원본데이터'!D39/'원본데이터'!D36,"-")</f>
        <v/>
      </c>
    </row>
    <row r="14">
      <c r="A14" s="6" t="inlineStr">
        <is>
          <t>순이익률</t>
        </is>
      </c>
      <c r="B14" s="7" t="inlineStr">
        <is>
          <t>2023</t>
        </is>
      </c>
      <c r="C14" s="7" t="inlineStr">
        <is>
          <t>2024</t>
        </is>
      </c>
      <c r="D14" s="7" t="inlineStr">
        <is>
          <t>2025</t>
        </is>
      </c>
    </row>
    <row r="15">
      <c r="A15" s="2" t="inlineStr">
        <is>
          <t>한국전력</t>
        </is>
      </c>
      <c r="B15" s="11">
        <f>IFERROR('원본데이터'!B10/'원본데이터'!B6,"-")</f>
        <v/>
      </c>
      <c r="C15" s="11">
        <f>IFERROR('원본데이터'!C10/'원본데이터'!C6,"-")</f>
        <v/>
      </c>
      <c r="D15" s="11">
        <f>IFERROR('원본데이터'!D10/'원본데이터'!D6,"-")</f>
        <v/>
      </c>
    </row>
    <row r="16">
      <c r="A16" s="2" t="inlineStr">
        <is>
          <t>삼성전자</t>
        </is>
      </c>
      <c r="B16" s="11">
        <f>IFERROR('원본데이터'!B25/'원본데이터'!B21,"-")</f>
        <v/>
      </c>
      <c r="C16" s="11">
        <f>IFERROR('원본데이터'!C25/'원본데이터'!C21,"-")</f>
        <v/>
      </c>
      <c r="D16" s="11">
        <f>IFERROR('원본데이터'!D25/'원본데이터'!D21,"-")</f>
        <v/>
      </c>
    </row>
    <row r="17">
      <c r="A17" s="2" t="inlineStr">
        <is>
          <t>SK하이닉스</t>
        </is>
      </c>
      <c r="B17" s="11">
        <f>IFERROR('원본데이터'!B40/'원본데이터'!B36,"-")</f>
        <v/>
      </c>
      <c r="C17" s="11">
        <f>IFERROR('원본데이터'!C40/'원본데이터'!C36,"-")</f>
        <v/>
      </c>
      <c r="D17" s="11">
        <f>IFERROR('원본데이터'!D40/'원본데이터'!D36,"-")</f>
        <v/>
      </c>
    </row>
    <row r="19">
      <c r="A19" s="6" t="inlineStr">
        <is>
          <t>ROA (총자산순이익률)</t>
        </is>
      </c>
      <c r="B19" s="7" t="inlineStr">
        <is>
          <t>2023</t>
        </is>
      </c>
      <c r="C19" s="7" t="inlineStr">
        <is>
          <t>2024</t>
        </is>
      </c>
      <c r="D19" s="7" t="inlineStr">
        <is>
          <t>2025</t>
        </is>
      </c>
    </row>
    <row r="20">
      <c r="A20" s="2" t="inlineStr">
        <is>
          <t>한국전력</t>
        </is>
      </c>
      <c r="B20" s="11">
        <f>IFERROR('원본데이터'!B10/'원본데이터'!B14,"-")</f>
        <v/>
      </c>
      <c r="C20" s="11">
        <f>IFERROR('원본데이터'!C10/'원본데이터'!C14,"-")</f>
        <v/>
      </c>
      <c r="D20" s="11">
        <f>IFERROR('원본데이터'!D10/'원본데이터'!D14,"-")</f>
        <v/>
      </c>
    </row>
    <row r="21">
      <c r="A21" s="2" t="inlineStr">
        <is>
          <t>삼성전자</t>
        </is>
      </c>
      <c r="B21" s="11">
        <f>IFERROR('원본데이터'!B25/'원본데이터'!B29,"-")</f>
        <v/>
      </c>
      <c r="C21" s="11">
        <f>IFERROR('원본데이터'!C25/'원본데이터'!C29,"-")</f>
        <v/>
      </c>
      <c r="D21" s="11">
        <f>IFERROR('원본데이터'!D25/'원본데이터'!D29,"-")</f>
        <v/>
      </c>
    </row>
    <row r="22">
      <c r="A22" s="2" t="inlineStr">
        <is>
          <t>SK하이닉스</t>
        </is>
      </c>
      <c r="B22" s="11">
        <f>IFERROR('원본데이터'!B40/'원본데이터'!B44,"-")</f>
        <v/>
      </c>
      <c r="C22" s="11">
        <f>IFERROR('원본데이터'!C40/'원본데이터'!C44,"-")</f>
        <v/>
      </c>
      <c r="D22" s="11">
        <f>IFERROR('원본데이터'!D40/'원본데이터'!D44,"-")</f>
        <v/>
      </c>
    </row>
    <row r="24">
      <c r="A24" s="6" t="inlineStr">
        <is>
          <t>ROE (자기자본순이익률)</t>
        </is>
      </c>
      <c r="B24" s="7" t="inlineStr">
        <is>
          <t>2023</t>
        </is>
      </c>
      <c r="C24" s="7" t="inlineStr">
        <is>
          <t>2024</t>
        </is>
      </c>
      <c r="D24" s="7" t="inlineStr">
        <is>
          <t>2025</t>
        </is>
      </c>
    </row>
    <row r="25">
      <c r="A25" s="2" t="inlineStr">
        <is>
          <t>한국전력</t>
        </is>
      </c>
      <c r="B25" s="11">
        <f>IFERROR('원본데이터'!B10/'원본데이터'!B16,"-")</f>
        <v/>
      </c>
      <c r="C25" s="11">
        <f>IFERROR('원본데이터'!C10/'원본데이터'!C16,"-")</f>
        <v/>
      </c>
      <c r="D25" s="11">
        <f>IFERROR('원본데이터'!D10/'원본데이터'!D16,"-")</f>
        <v/>
      </c>
    </row>
    <row r="26">
      <c r="A26" s="2" t="inlineStr">
        <is>
          <t>삼성전자</t>
        </is>
      </c>
      <c r="B26" s="11">
        <f>IFERROR('원본데이터'!B25/'원본데이터'!B31,"-")</f>
        <v/>
      </c>
      <c r="C26" s="11">
        <f>IFERROR('원본데이터'!C25/'원본데이터'!C31,"-")</f>
        <v/>
      </c>
      <c r="D26" s="11">
        <f>IFERROR('원본데이터'!D25/'원본데이터'!D31,"-")</f>
        <v/>
      </c>
    </row>
    <row r="27">
      <c r="A27" s="2" t="inlineStr">
        <is>
          <t>SK하이닉스</t>
        </is>
      </c>
      <c r="B27" s="11">
        <f>IFERROR('원본데이터'!B40/'원본데이터'!B46,"-")</f>
        <v/>
      </c>
      <c r="C27" s="11">
        <f>IFERROR('원본데이터'!C40/'원본데이터'!C46,"-")</f>
        <v/>
      </c>
      <c r="D27" s="11">
        <f>IFERROR('원본데이터'!D40/'원본데이터'!D46,"-")</f>
        <v/>
      </c>
    </row>
    <row r="29">
      <c r="A29" s="10" t="inlineStr">
        <is>
          <t>[ 안정성 지표 ]</t>
        </is>
      </c>
    </row>
    <row r="30">
      <c r="A30" s="6" t="inlineStr">
        <is>
          <t>부채비율</t>
        </is>
      </c>
      <c r="B30" s="7" t="inlineStr">
        <is>
          <t>2023</t>
        </is>
      </c>
      <c r="C30" s="7" t="inlineStr">
        <is>
          <t>2024</t>
        </is>
      </c>
      <c r="D30" s="7" t="inlineStr">
        <is>
          <t>2025</t>
        </is>
      </c>
    </row>
    <row r="31">
      <c r="A31" s="2" t="inlineStr">
        <is>
          <t>한국전력</t>
        </is>
      </c>
      <c r="B31" s="11">
        <f>IFERROR('원본데이터'!B15/'원본데이터'!B16,"-")</f>
        <v/>
      </c>
      <c r="C31" s="11">
        <f>IFERROR('원본데이터'!C15/'원본데이터'!C16,"-")</f>
        <v/>
      </c>
      <c r="D31" s="11">
        <f>IFERROR('원본데이터'!D15/'원본데이터'!D16,"-")</f>
        <v/>
      </c>
    </row>
    <row r="32">
      <c r="A32" s="2" t="inlineStr">
        <is>
          <t>삼성전자</t>
        </is>
      </c>
      <c r="B32" s="11">
        <f>IFERROR('원본데이터'!B30/'원본데이터'!B31,"-")</f>
        <v/>
      </c>
      <c r="C32" s="11">
        <f>IFERROR('원본데이터'!C30/'원본데이터'!C31,"-")</f>
        <v/>
      </c>
      <c r="D32" s="11">
        <f>IFERROR('원본데이터'!D30/'원본데이터'!D31,"-")</f>
        <v/>
      </c>
    </row>
    <row r="33">
      <c r="A33" s="2" t="inlineStr">
        <is>
          <t>SK하이닉스</t>
        </is>
      </c>
      <c r="B33" s="11">
        <f>IFERROR('원본데이터'!B45/'원본데이터'!B46,"-")</f>
        <v/>
      </c>
      <c r="C33" s="11">
        <f>IFERROR('원본데이터'!C45/'원본데이터'!C46,"-")</f>
        <v/>
      </c>
      <c r="D33" s="11">
        <f>IFERROR('원본데이터'!D45/'원본데이터'!D46,"-")</f>
        <v/>
      </c>
    </row>
    <row r="35">
      <c r="A35" s="6" t="inlineStr">
        <is>
          <t>유동비율</t>
        </is>
      </c>
      <c r="B35" s="7" t="inlineStr">
        <is>
          <t>2023</t>
        </is>
      </c>
      <c r="C35" s="7" t="inlineStr">
        <is>
          <t>2024</t>
        </is>
      </c>
      <c r="D35" s="7" t="inlineStr">
        <is>
          <t>2025</t>
        </is>
      </c>
    </row>
    <row r="36">
      <c r="A36" s="2" t="inlineStr">
        <is>
          <t>한국전력</t>
        </is>
      </c>
      <c r="B36" s="11">
        <f>IFERROR('원본데이터'!B11/'원본데이터'!B13,"-")</f>
        <v/>
      </c>
      <c r="C36" s="11">
        <f>IFERROR('원본데이터'!C11/'원본데이터'!C13,"-")</f>
        <v/>
      </c>
      <c r="D36" s="11">
        <f>IFERROR('원본데이터'!D11/'원본데이터'!D13,"-")</f>
        <v/>
      </c>
    </row>
    <row r="37">
      <c r="A37" s="2" t="inlineStr">
        <is>
          <t>삼성전자</t>
        </is>
      </c>
      <c r="B37" s="11">
        <f>IFERROR('원본데이터'!B26/'원본데이터'!B28,"-")</f>
        <v/>
      </c>
      <c r="C37" s="11">
        <f>IFERROR('원본데이터'!C26/'원본데이터'!C28,"-")</f>
        <v/>
      </c>
      <c r="D37" s="11">
        <f>IFERROR('원본데이터'!D26/'원본데이터'!D28,"-")</f>
        <v/>
      </c>
    </row>
    <row r="38">
      <c r="A38" s="2" t="inlineStr">
        <is>
          <t>SK하이닉스</t>
        </is>
      </c>
      <c r="B38" s="11">
        <f>IFERROR('원본데이터'!B41/'원본데이터'!B43,"-")</f>
        <v/>
      </c>
      <c r="C38" s="11">
        <f>IFERROR('원본데이터'!C41/'원본데이터'!C43,"-")</f>
        <v/>
      </c>
      <c r="D38" s="11">
        <f>IFERROR('원본데이터'!D41/'원본데이터'!D43,"-")</f>
        <v/>
      </c>
    </row>
    <row r="40">
      <c r="A40" s="6" t="inlineStr">
        <is>
          <t>자기자본비율</t>
        </is>
      </c>
      <c r="B40" s="7" t="inlineStr">
        <is>
          <t>2023</t>
        </is>
      </c>
      <c r="C40" s="7" t="inlineStr">
        <is>
          <t>2024</t>
        </is>
      </c>
      <c r="D40" s="7" t="inlineStr">
        <is>
          <t>2025</t>
        </is>
      </c>
    </row>
    <row r="41">
      <c r="A41" s="2" t="inlineStr">
        <is>
          <t>한국전력</t>
        </is>
      </c>
      <c r="B41" s="11">
        <f>IFERROR('원본데이터'!B16/'원본데이터'!B14,"-")</f>
        <v/>
      </c>
      <c r="C41" s="11">
        <f>IFERROR('원본데이터'!C16/'원본데이터'!C14,"-")</f>
        <v/>
      </c>
      <c r="D41" s="11">
        <f>IFERROR('원본데이터'!D16/'원본데이터'!D14,"-")</f>
        <v/>
      </c>
    </row>
    <row r="42">
      <c r="A42" s="2" t="inlineStr">
        <is>
          <t>삼성전자</t>
        </is>
      </c>
      <c r="B42" s="11">
        <f>IFERROR('원본데이터'!B31/'원본데이터'!B29,"-")</f>
        <v/>
      </c>
      <c r="C42" s="11">
        <f>IFERROR('원본데이터'!C31/'원본데이터'!C29,"-")</f>
        <v/>
      </c>
      <c r="D42" s="11">
        <f>IFERROR('원본데이터'!D31/'원본데이터'!D29,"-")</f>
        <v/>
      </c>
    </row>
    <row r="43">
      <c r="A43" s="2" t="inlineStr">
        <is>
          <t>SK하이닉스</t>
        </is>
      </c>
      <c r="B43" s="11">
        <f>IFERROR('원본데이터'!B46/'원본데이터'!B44,"-")</f>
        <v/>
      </c>
      <c r="C43" s="11">
        <f>IFERROR('원본데이터'!C46/'원본데이터'!C44,"-")</f>
        <v/>
      </c>
      <c r="D43" s="11">
        <f>IFERROR('원본데이터'!D46/'원본데이터'!D44,"-")</f>
        <v/>
      </c>
    </row>
    <row r="45">
      <c r="A45" s="10" t="inlineStr">
        <is>
          <t>[ 성장성 지표 (전년 대비 증가율) ]</t>
        </is>
      </c>
    </row>
    <row r="46">
      <c r="A46" s="6" t="inlineStr">
        <is>
          <t>매출액증가율</t>
        </is>
      </c>
      <c r="B46" s="7" t="inlineStr">
        <is>
          <t>2023</t>
        </is>
      </c>
      <c r="C46" s="7" t="inlineStr">
        <is>
          <t>2024</t>
        </is>
      </c>
      <c r="D46" s="7" t="inlineStr">
        <is>
          <t>2025</t>
        </is>
      </c>
    </row>
    <row r="47">
      <c r="A47" s="2" t="inlineStr">
        <is>
          <t>한국전력</t>
        </is>
      </c>
      <c r="B47" s="12" t="inlineStr">
        <is>
          <t>N/A</t>
        </is>
      </c>
      <c r="C47" s="11">
        <f>IFERROR(('원본데이터'!C6-'원본데이터'!B6)/'원본데이터'!B6,"-")</f>
        <v/>
      </c>
      <c r="D47" s="11">
        <f>IFERROR(('원본데이터'!D6-'원본데이터'!C6)/'원본데이터'!C6,"-")</f>
        <v/>
      </c>
    </row>
    <row r="48">
      <c r="A48" s="2" t="inlineStr">
        <is>
          <t>삼성전자</t>
        </is>
      </c>
      <c r="B48" s="12" t="inlineStr">
        <is>
          <t>N/A</t>
        </is>
      </c>
      <c r="C48" s="11">
        <f>IFERROR(('원본데이터'!C21-'원본데이터'!B21)/'원본데이터'!B21,"-")</f>
        <v/>
      </c>
      <c r="D48" s="11">
        <f>IFERROR(('원본데이터'!D21-'원본데이터'!C21)/'원본데이터'!C21,"-")</f>
        <v/>
      </c>
    </row>
    <row r="49">
      <c r="A49" s="2" t="inlineStr">
        <is>
          <t>SK하이닉스</t>
        </is>
      </c>
      <c r="B49" s="12" t="inlineStr">
        <is>
          <t>N/A</t>
        </is>
      </c>
      <c r="C49" s="11">
        <f>IFERROR(('원본데이터'!C36-'원본데이터'!B36)/'원본데이터'!B36,"-")</f>
        <v/>
      </c>
      <c r="D49" s="11">
        <f>IFERROR(('원본데이터'!D36-'원본데이터'!C36)/'원본데이터'!C36,"-")</f>
        <v/>
      </c>
    </row>
    <row r="51">
      <c r="A51" s="6" t="inlineStr">
        <is>
          <t>영업이익증가율</t>
        </is>
      </c>
      <c r="B51" s="7" t="inlineStr">
        <is>
          <t>2023</t>
        </is>
      </c>
      <c r="C51" s="7" t="inlineStr">
        <is>
          <t>2024</t>
        </is>
      </c>
      <c r="D51" s="7" t="inlineStr">
        <is>
          <t>2025</t>
        </is>
      </c>
    </row>
    <row r="52">
      <c r="A52" s="2" t="inlineStr">
        <is>
          <t>한국전력</t>
        </is>
      </c>
      <c r="B52" s="12" t="inlineStr">
        <is>
          <t>N/A</t>
        </is>
      </c>
      <c r="C52" s="11">
        <f>IFERROR(('원본데이터'!C9-'원본데이터'!B9)/'원본데이터'!B9,"-")</f>
        <v/>
      </c>
      <c r="D52" s="11">
        <f>IFERROR(('원본데이터'!D9-'원본데이터'!C9)/'원본데이터'!C9,"-")</f>
        <v/>
      </c>
    </row>
    <row r="53">
      <c r="A53" s="2" t="inlineStr">
        <is>
          <t>삼성전자</t>
        </is>
      </c>
      <c r="B53" s="12" t="inlineStr">
        <is>
          <t>N/A</t>
        </is>
      </c>
      <c r="C53" s="11">
        <f>IFERROR(('원본데이터'!C24-'원본데이터'!B24)/'원본데이터'!B24,"-")</f>
        <v/>
      </c>
      <c r="D53" s="11">
        <f>IFERROR(('원본데이터'!D24-'원본데이터'!C24)/'원본데이터'!C24,"-")</f>
        <v/>
      </c>
    </row>
    <row r="54">
      <c r="A54" s="2" t="inlineStr">
        <is>
          <t>SK하이닉스</t>
        </is>
      </c>
      <c r="B54" s="12" t="inlineStr">
        <is>
          <t>N/A</t>
        </is>
      </c>
      <c r="C54" s="11">
        <f>IFERROR(('원본데이터'!C39-'원본데이터'!B39)/'원본데이터'!B39,"-")</f>
        <v/>
      </c>
      <c r="D54" s="11">
        <f>IFERROR(('원본데이터'!D39-'원본데이터'!C39)/'원본데이터'!C39,"-")</f>
        <v/>
      </c>
    </row>
    <row r="56">
      <c r="A56" s="6" t="inlineStr">
        <is>
          <t>순이익증가율</t>
        </is>
      </c>
      <c r="B56" s="7" t="inlineStr">
        <is>
          <t>2023</t>
        </is>
      </c>
      <c r="C56" s="7" t="inlineStr">
        <is>
          <t>2024</t>
        </is>
      </c>
      <c r="D56" s="7" t="inlineStr">
        <is>
          <t>2025</t>
        </is>
      </c>
    </row>
    <row r="57">
      <c r="A57" s="2" t="inlineStr">
        <is>
          <t>한국전력</t>
        </is>
      </c>
      <c r="B57" s="12" t="inlineStr">
        <is>
          <t>N/A</t>
        </is>
      </c>
      <c r="C57" s="11">
        <f>IFERROR(('원본데이터'!C10-'원본데이터'!B10)/'원본데이터'!B10,"-")</f>
        <v/>
      </c>
      <c r="D57" s="11">
        <f>IFERROR(('원본데이터'!D10-'원본데이터'!C10)/'원본데이터'!C10,"-")</f>
        <v/>
      </c>
    </row>
    <row r="58">
      <c r="A58" s="2" t="inlineStr">
        <is>
          <t>삼성전자</t>
        </is>
      </c>
      <c r="B58" s="12" t="inlineStr">
        <is>
          <t>N/A</t>
        </is>
      </c>
      <c r="C58" s="11">
        <f>IFERROR(('원본데이터'!C25-'원본데이터'!B25)/'원본데이터'!B25,"-")</f>
        <v/>
      </c>
      <c r="D58" s="11">
        <f>IFERROR(('원본데이터'!D25-'원본데이터'!C25)/'원본데이터'!C25,"-")</f>
        <v/>
      </c>
    </row>
    <row r="59">
      <c r="A59" s="2" t="inlineStr">
        <is>
          <t>SK하이닉스</t>
        </is>
      </c>
      <c r="B59" s="12" t="inlineStr">
        <is>
          <t>N/A</t>
        </is>
      </c>
      <c r="C59" s="11">
        <f>IFERROR(('원본데이터'!C40-'원본데이터'!B40)/'원본데이터'!B40,"-")</f>
        <v/>
      </c>
      <c r="D59" s="11">
        <f>IFERROR(('원본데이터'!D40-'원본데이터'!C40)/'원본데이터'!C40,"-")</f>
        <v/>
      </c>
    </row>
    <row r="61">
      <c r="A61" s="6" t="inlineStr">
        <is>
          <t>총자산증가율</t>
        </is>
      </c>
      <c r="B61" s="7" t="inlineStr">
        <is>
          <t>2023</t>
        </is>
      </c>
      <c r="C61" s="7" t="inlineStr">
        <is>
          <t>2024</t>
        </is>
      </c>
      <c r="D61" s="7" t="inlineStr">
        <is>
          <t>2025</t>
        </is>
      </c>
    </row>
    <row r="62">
      <c r="A62" s="2" t="inlineStr">
        <is>
          <t>한국전력</t>
        </is>
      </c>
      <c r="B62" s="12" t="inlineStr">
        <is>
          <t>N/A</t>
        </is>
      </c>
      <c r="C62" s="11">
        <f>IFERROR(('원본데이터'!C14-'원본데이터'!B14)/'원본데이터'!B14,"-")</f>
        <v/>
      </c>
      <c r="D62" s="11">
        <f>IFERROR(('원본데이터'!D14-'원본데이터'!C14)/'원본데이터'!C14,"-")</f>
        <v/>
      </c>
    </row>
    <row r="63">
      <c r="A63" s="2" t="inlineStr">
        <is>
          <t>삼성전자</t>
        </is>
      </c>
      <c r="B63" s="12" t="inlineStr">
        <is>
          <t>N/A</t>
        </is>
      </c>
      <c r="C63" s="11">
        <f>IFERROR(('원본데이터'!C29-'원본데이터'!B29)/'원본데이터'!B29,"-")</f>
        <v/>
      </c>
      <c r="D63" s="11">
        <f>IFERROR(('원본데이터'!D29-'원본데이터'!C29)/'원본데이터'!C29,"-")</f>
        <v/>
      </c>
    </row>
    <row r="64">
      <c r="A64" s="2" t="inlineStr">
        <is>
          <t>SK하이닉스</t>
        </is>
      </c>
      <c r="B64" s="12" t="inlineStr">
        <is>
          <t>N/A</t>
        </is>
      </c>
      <c r="C64" s="11">
        <f>IFERROR(('원본데이터'!C44-'원본데이터'!B44)/'원본데이터'!B44,"-")</f>
        <v/>
      </c>
      <c r="D64" s="11">
        <f>IFERROR(('원본데이터'!D44-'원본데이터'!C44)/'원본데이터'!C44,"-")</f>
        <v/>
      </c>
    </row>
  </sheetData>
  <mergeCells count="4">
    <mergeCell ref="A45:D45"/>
    <mergeCell ref="A1:D1"/>
    <mergeCell ref="A3:D3"/>
    <mergeCell ref="A29:D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4" customWidth="1" min="5" max="5"/>
    <col width="16" customWidth="1" min="6" max="6"/>
    <col width="12" customWidth="1" min="7" max="7"/>
    <col width="12" customWidth="1" min="8" max="8"/>
  </cols>
  <sheetData>
    <row r="1">
      <c r="A1" s="1" t="inlineStr">
        <is>
          <t>3개 기업 재무비교 대시보드 (한국전력 / 삼성전자 / SK하이닉스)</t>
        </is>
      </c>
    </row>
    <row r="2">
      <c r="A2" s="5" t="inlineStr">
        <is>
          <t>기준: 2023~2025 사업보고서 (연결재무제표 기준, DART Open API)</t>
        </is>
      </c>
    </row>
    <row r="55">
      <c r="A55" s="10" t="inlineStr">
        <is>
          <t>■ 2025년 요약 스코어카드</t>
        </is>
      </c>
    </row>
    <row r="56" ht="30" customHeight="1">
      <c r="A56" s="6" t="inlineStr">
        <is>
          <t>회사명</t>
        </is>
      </c>
      <c r="B56" s="13" t="inlineStr">
        <is>
          <t>영업이익률</t>
        </is>
      </c>
      <c r="C56" s="13" t="inlineStr">
        <is>
          <t>순이익률</t>
        </is>
      </c>
      <c r="D56" s="13" t="inlineStr">
        <is>
          <t>ROE (자기자본순이익률)</t>
        </is>
      </c>
      <c r="E56" s="13" t="inlineStr">
        <is>
          <t>부채비율</t>
        </is>
      </c>
      <c r="F56" s="13" t="inlineStr">
        <is>
          <t>유동비율</t>
        </is>
      </c>
      <c r="G56" s="13" t="inlineStr">
        <is>
          <t>매출액증가율</t>
        </is>
      </c>
    </row>
    <row r="57">
      <c r="A57" s="2" t="inlineStr">
        <is>
          <t>한국전력</t>
        </is>
      </c>
      <c r="B57" s="11">
        <f>'비교분석'!D10</f>
        <v/>
      </c>
      <c r="C57" s="11">
        <f>'비교분석'!D15</f>
        <v/>
      </c>
      <c r="D57" s="11">
        <f>'비교분석'!D25</f>
        <v/>
      </c>
      <c r="E57" s="11">
        <f>'비교분석'!D31</f>
        <v/>
      </c>
      <c r="F57" s="11">
        <f>'비교분석'!D36</f>
        <v/>
      </c>
      <c r="G57" s="11">
        <f>'비교분석'!D47</f>
        <v/>
      </c>
    </row>
    <row r="58">
      <c r="A58" s="2" t="inlineStr">
        <is>
          <t>삼성전자</t>
        </is>
      </c>
      <c r="B58" s="11">
        <f>'비교분석'!D11</f>
        <v/>
      </c>
      <c r="C58" s="11">
        <f>'비교분석'!D16</f>
        <v/>
      </c>
      <c r="D58" s="11">
        <f>'비교분석'!D26</f>
        <v/>
      </c>
      <c r="E58" s="11">
        <f>'비교분석'!D32</f>
        <v/>
      </c>
      <c r="F58" s="11">
        <f>'비교분석'!D37</f>
        <v/>
      </c>
      <c r="G58" s="11">
        <f>'비교분석'!D48</f>
        <v/>
      </c>
    </row>
    <row r="59">
      <c r="A59" s="2" t="inlineStr">
        <is>
          <t>SK하이닉스</t>
        </is>
      </c>
      <c r="B59" s="11">
        <f>'비교분석'!D12</f>
        <v/>
      </c>
      <c r="C59" s="11">
        <f>'비교분석'!D17</f>
        <v/>
      </c>
      <c r="D59" s="11">
        <f>'비교분석'!D27</f>
        <v/>
      </c>
      <c r="E59" s="11">
        <f>'비교분석'!D33</f>
        <v/>
      </c>
      <c r="F59" s="11">
        <f>'비교분석'!D38</f>
        <v/>
      </c>
      <c r="G59" s="11">
        <f>'비교분석'!D49</f>
        <v/>
      </c>
    </row>
  </sheetData>
  <mergeCells count="3">
    <mergeCell ref="A2:H2"/>
    <mergeCell ref="A55:H55"/>
    <mergeCell ref="A1:H1"/>
  </mergeCells>
  <conditionalFormatting sqref="B57:B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57:C5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57:D5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57:E5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57:F5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57:G5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배당소득 분리과세 대상(고배당기업) 요건 판정</t>
        </is>
      </c>
    </row>
    <row r="2">
      <c r="A2" s="5" t="inlineStr">
        <is>
          <t>2026.1.1. 이후 귀속 배당분부터 3년 한시 시행 예정 (조세특례제한법 개정안 §91의19 기준, 2026-07 시점 조사)</t>
        </is>
      </c>
    </row>
    <row r="3" ht="16" customHeight="1">
      <c r="A3" s="14" t="inlineStr">
        <is>
          <t>⚠ 주의: 이 판정은 확정된 법령이 아니라 2025년 세제개편안 보도 및 법무법인 뉴스레터를 근거로 구성한 추정치입니다.</t>
        </is>
      </c>
    </row>
    <row r="4" ht="16" customHeight="1">
      <c r="A4" s="15" t="inlineStr">
        <is>
          <t xml:space="preserve">  - 요건(추정): ① 전년 대비 현금배당액 비감소, AND ② 배당성향 40% 이상 OR (배당성향 25% 이상 AND 직전 3년 평균 대비 배당금 5% 이상 증가)</t>
        </is>
      </c>
    </row>
    <row r="5" ht="16" customHeight="1">
      <c r="A5" s="15" t="inlineStr">
        <is>
          <t xml:space="preserve">  - 배당성향은 각 기업이 DART에 직접 공시한 (연결)현금배당성향(%)을 사용합니다 (원본데이터 시트의 자체 계산 순이익 기준과 소수 오차 있을 수 있음).</t>
        </is>
      </c>
    </row>
    <row r="6" ht="16" customHeight="1">
      <c r="A6" s="15" t="inlineStr">
        <is>
          <t xml:space="preserve">  - 세율 구간 등 세부 사항은 자료마다 상이하게 보도되어 이 표에 포함하지 않았습니다.</t>
        </is>
      </c>
    </row>
    <row r="7" ht="16" customHeight="1">
      <c r="A7" s="15" t="inlineStr">
        <is>
          <t xml:space="preserve">  - 최종 판단은 국세청·기획재정부 공식 발표 또는 세무전문가 확인 후 하시기 바랍니다.</t>
        </is>
      </c>
    </row>
    <row r="9">
      <c r="A9" s="10" t="inlineStr">
        <is>
          <t>■ 요약 판정 결과 (2025 사업연도 기준)</t>
        </is>
      </c>
    </row>
    <row r="11">
      <c r="A11" s="3" t="inlineStr">
        <is>
          <t>한국전력</t>
        </is>
      </c>
      <c r="B11" s="3">
        <f>E24</f>
        <v/>
      </c>
    </row>
    <row r="12">
      <c r="A12" s="3" t="inlineStr">
        <is>
          <t>삼성전자</t>
        </is>
      </c>
      <c r="B12" s="3">
        <f>E35</f>
        <v/>
      </c>
    </row>
    <row r="13">
      <c r="A13" s="3" t="inlineStr">
        <is>
          <t>SK하이닉스</t>
        </is>
      </c>
      <c r="B13" s="3">
        <f>E46</f>
        <v/>
      </c>
    </row>
    <row r="15">
      <c r="A15" s="4" t="inlineStr">
        <is>
          <t>■ 한국전력 (한국전력공사)</t>
        </is>
      </c>
    </row>
    <row r="16">
      <c r="A16" s="5" t="inlineStr">
        <is>
          <t>출처: DART alotMatter 공시 (접수번호 20260317000686, 20250318000747)</t>
        </is>
      </c>
    </row>
    <row r="17">
      <c r="A17" s="6" t="inlineStr">
        <is>
          <t>항목</t>
        </is>
      </c>
      <c r="B17" s="7" t="inlineStr">
        <is>
          <t>2022</t>
        </is>
      </c>
      <c r="C17" s="7" t="inlineStr">
        <is>
          <t>2023</t>
        </is>
      </c>
      <c r="D17" s="7" t="inlineStr">
        <is>
          <t>2024</t>
        </is>
      </c>
      <c r="E17" s="7" t="inlineStr">
        <is>
          <t>2025</t>
        </is>
      </c>
    </row>
    <row r="18">
      <c r="A18" s="2" t="inlineStr">
        <is>
          <t>현금배당금총액(원)</t>
        </is>
      </c>
      <c r="B18" s="8" t="inlineStr">
        <is>
          <t>N/A</t>
        </is>
      </c>
      <c r="C18" s="8" t="inlineStr">
        <is>
          <t>N/A</t>
        </is>
      </c>
      <c r="D18" s="8" t="n">
        <v>136738000000</v>
      </c>
      <c r="E18" s="8" t="n">
        <v>989909000000</v>
      </c>
    </row>
    <row r="19">
      <c r="A19" s="2" t="inlineStr">
        <is>
          <t>(연결)현금배당성향 [DART 공시]</t>
        </is>
      </c>
      <c r="B19" s="16" t="inlineStr">
        <is>
          <t>N/A</t>
        </is>
      </c>
      <c r="C19" s="16" t="inlineStr">
        <is>
          <t>N/A</t>
        </is>
      </c>
      <c r="D19" s="16" t="n">
        <v>0.039</v>
      </c>
      <c r="E19" s="16" t="n">
        <v>0.116</v>
      </c>
    </row>
    <row r="20">
      <c r="A20" s="2" t="inlineStr">
        <is>
          <t>① 전년대비 배당 비감소</t>
        </is>
      </c>
      <c r="E20" s="17">
        <f>IF(OR(NOT(ISNUMBER(E18)),NOT(ISNUMBER(D18))),"판단불가",IF(E18&gt;=D18,"충족","미충족"))</f>
        <v/>
      </c>
    </row>
    <row r="21">
      <c r="A21" s="2" t="inlineStr">
        <is>
          <t>직전 3년(연도-3~연도-1) 평균 배당금</t>
        </is>
      </c>
      <c r="E21" s="9">
        <f>IF(COUNT(B18:D18)=3,AVERAGE(B18:D18),"자료부족")</f>
        <v/>
      </c>
    </row>
    <row r="22">
      <c r="A22" s="2" t="inlineStr">
        <is>
          <t>3년평균 대비 증가율</t>
        </is>
      </c>
      <c r="E22" s="11">
        <f>IF(ISNUMBER(E21),IFERROR(E18/E21-1,"-"),"-")</f>
        <v/>
      </c>
    </row>
    <row r="23">
      <c r="A23" s="2" t="inlineStr">
        <is>
          <t>② 배당성향 40%+ 또는 (25%+ 및 3년평균 5%+ 증가)</t>
        </is>
      </c>
      <c r="E23" s="17">
        <f>IF(NOT(ISNUMBER(E19)),"판단불가",IF(E19&gt;=0.4,"충족(40%+)",IF(AND(E19&gt;=0.25,ISNUMBER(E22),E22&gt;=0.05),"충족(25%+ 및 3년평균5%+증가)","미충족")))</f>
        <v/>
      </c>
    </row>
    <row r="24">
      <c r="A24" s="3" t="inlineStr">
        <is>
          <t>▶ 최종 판정 (①AND②, 추정)</t>
        </is>
      </c>
      <c r="E24" s="18">
        <f>IF(OR(E20="판단불가",E23="판단불가"),"판단보류(자료부족, 공시 확인 필요)",IF(AND(E20="충족",LEFT(E23,2)="충족"),"분리과세 대상 요건 충족 (추정)","요건 미충족 (추정)"))</f>
        <v/>
      </c>
    </row>
    <row r="26">
      <c r="A26" s="4" t="inlineStr">
        <is>
          <t>■ 삼성전자 (삼성전자)</t>
        </is>
      </c>
    </row>
    <row r="27">
      <c r="A27" s="5" t="inlineStr">
        <is>
          <t>출처: DART alotMatter 공시 (접수번호 20260310002820, 20250311001085)</t>
        </is>
      </c>
    </row>
    <row r="28">
      <c r="A28" s="6" t="inlineStr">
        <is>
          <t>항목</t>
        </is>
      </c>
      <c r="B28" s="7" t="inlineStr">
        <is>
          <t>2022</t>
        </is>
      </c>
      <c r="C28" s="7" t="inlineStr">
        <is>
          <t>2023</t>
        </is>
      </c>
      <c r="D28" s="7" t="inlineStr">
        <is>
          <t>2024</t>
        </is>
      </c>
      <c r="E28" s="7" t="inlineStr">
        <is>
          <t>2025</t>
        </is>
      </c>
    </row>
    <row r="29">
      <c r="A29" s="2" t="inlineStr">
        <is>
          <t>현금배당금총액(원)</t>
        </is>
      </c>
      <c r="B29" s="8" t="n">
        <v>9809438000000</v>
      </c>
      <c r="C29" s="8" t="n">
        <v>9809438000000</v>
      </c>
      <c r="D29" s="8" t="n">
        <v>9810767000000</v>
      </c>
      <c r="E29" s="8" t="n">
        <v>11107906000000</v>
      </c>
    </row>
    <row r="30">
      <c r="A30" s="2" t="inlineStr">
        <is>
          <t>(연결)현금배당성향 [DART 공시]</t>
        </is>
      </c>
      <c r="B30" s="16" t="n">
        <v>0.179</v>
      </c>
      <c r="C30" s="16" t="n">
        <v>0.6779999999999999</v>
      </c>
      <c r="D30" s="16" t="n">
        <v>0.292</v>
      </c>
      <c r="E30" s="16" t="n">
        <v>0.251</v>
      </c>
    </row>
    <row r="31">
      <c r="A31" s="2" t="inlineStr">
        <is>
          <t>① 전년대비 배당 비감소</t>
        </is>
      </c>
      <c r="E31" s="17">
        <f>IF(OR(NOT(ISNUMBER(E29)),NOT(ISNUMBER(D29))),"판단불가",IF(E29&gt;=D29,"충족","미충족"))</f>
        <v/>
      </c>
    </row>
    <row r="32">
      <c r="A32" s="2" t="inlineStr">
        <is>
          <t>직전 3년(연도-3~연도-1) 평균 배당금</t>
        </is>
      </c>
      <c r="E32" s="9">
        <f>IF(COUNT(B29:D29)=3,AVERAGE(B29:D29),"자료부족")</f>
        <v/>
      </c>
    </row>
    <row r="33">
      <c r="A33" s="2" t="inlineStr">
        <is>
          <t>3년평균 대비 증가율</t>
        </is>
      </c>
      <c r="E33" s="11">
        <f>IF(ISNUMBER(E32),IFERROR(E29/E32-1,"-"),"-")</f>
        <v/>
      </c>
    </row>
    <row r="34">
      <c r="A34" s="2" t="inlineStr">
        <is>
          <t>② 배당성향 40%+ 또는 (25%+ 및 3년평균 5%+ 증가)</t>
        </is>
      </c>
      <c r="E34" s="17">
        <f>IF(NOT(ISNUMBER(E30)),"판단불가",IF(E30&gt;=0.4,"충족(40%+)",IF(AND(E30&gt;=0.25,ISNUMBER(E33),E33&gt;=0.05),"충족(25%+ 및 3년평균5%+증가)","미충족")))</f>
        <v/>
      </c>
    </row>
    <row r="35">
      <c r="A35" s="3" t="inlineStr">
        <is>
          <t>▶ 최종 판정 (①AND②, 추정)</t>
        </is>
      </c>
      <c r="E35" s="18">
        <f>IF(OR(E31="판단불가",E34="판단불가"),"판단보류(자료부족, 공시 확인 필요)",IF(AND(E31="충족",LEFT(E34,2)="충족"),"분리과세 대상 요건 충족 (추정)","요건 미충족 (추정)"))</f>
        <v/>
      </c>
    </row>
    <row r="37">
      <c r="A37" s="4" t="inlineStr">
        <is>
          <t>■ SK하이닉스 (SK하이닉스)</t>
        </is>
      </c>
    </row>
    <row r="38">
      <c r="A38" s="5" t="inlineStr">
        <is>
          <t>출처: DART alotMatter 공시 (접수번호 20260317000635, 20250319000665)</t>
        </is>
      </c>
    </row>
    <row r="39">
      <c r="A39" s="6" t="inlineStr">
        <is>
          <t>항목</t>
        </is>
      </c>
      <c r="B39" s="7" t="inlineStr">
        <is>
          <t>2022</t>
        </is>
      </c>
      <c r="C39" s="7" t="inlineStr">
        <is>
          <t>2023</t>
        </is>
      </c>
      <c r="D39" s="7" t="inlineStr">
        <is>
          <t>2024</t>
        </is>
      </c>
      <c r="E39" s="7" t="inlineStr">
        <is>
          <t>2025</t>
        </is>
      </c>
    </row>
    <row r="40">
      <c r="A40" s="2" t="inlineStr">
        <is>
          <t>현금배당금총액(원)</t>
        </is>
      </c>
      <c r="B40" s="8" t="n">
        <v>825181000000</v>
      </c>
      <c r="C40" s="8" t="n">
        <v>825721000000</v>
      </c>
      <c r="D40" s="8" t="n">
        <v>1520090000000</v>
      </c>
      <c r="E40" s="8" t="n">
        <v>2095133000000</v>
      </c>
    </row>
    <row r="41">
      <c r="A41" s="2" t="inlineStr">
        <is>
          <t>(연결)현금배당성향 [DART 공시]</t>
        </is>
      </c>
      <c r="B41" s="16" t="n">
        <v>0.37</v>
      </c>
      <c r="C41" s="16" t="inlineStr">
        <is>
          <t>N/A</t>
        </is>
      </c>
      <c r="D41" s="16" t="n">
        <v>0.077</v>
      </c>
      <c r="E41" s="16" t="n">
        <v>0.049</v>
      </c>
    </row>
    <row r="42">
      <c r="A42" s="2" t="inlineStr">
        <is>
          <t>① 전년대비 배당 비감소</t>
        </is>
      </c>
      <c r="E42" s="17">
        <f>IF(OR(NOT(ISNUMBER(E40)),NOT(ISNUMBER(D40))),"판단불가",IF(E40&gt;=D40,"충족","미충족"))</f>
        <v/>
      </c>
    </row>
    <row r="43">
      <c r="A43" s="2" t="inlineStr">
        <is>
          <t>직전 3년(연도-3~연도-1) 평균 배당금</t>
        </is>
      </c>
      <c r="E43" s="9">
        <f>IF(COUNT(B40:D40)=3,AVERAGE(B40:D40),"자료부족")</f>
        <v/>
      </c>
    </row>
    <row r="44">
      <c r="A44" s="2" t="inlineStr">
        <is>
          <t>3년평균 대비 증가율</t>
        </is>
      </c>
      <c r="E44" s="11">
        <f>IF(ISNUMBER(E43),IFERROR(E40/E43-1,"-"),"-")</f>
        <v/>
      </c>
    </row>
    <row r="45">
      <c r="A45" s="2" t="inlineStr">
        <is>
          <t>② 배당성향 40%+ 또는 (25%+ 및 3년평균 5%+ 증가)</t>
        </is>
      </c>
      <c r="E45" s="17">
        <f>IF(NOT(ISNUMBER(E41)),"판단불가",IF(E41&gt;=0.4,"충족(40%+)",IF(AND(E41&gt;=0.25,ISNUMBER(E44),E44&gt;=0.05),"충족(25%+ 및 3년평균5%+증가)","미충족")))</f>
        <v/>
      </c>
    </row>
    <row r="46">
      <c r="A46" s="3" t="inlineStr">
        <is>
          <t>▶ 최종 판정 (①AND②, 추정)</t>
        </is>
      </c>
      <c r="E46" s="18">
        <f>IF(OR(E42="판단불가",E45="판단불가"),"판단보류(자료부족, 공시 확인 필요)",IF(AND(E42="충족",LEFT(E45,2)="충족"),"분리과세 대상 요건 충족 (추정)","요건 미충족 (추정)"))</f>
        <v/>
      </c>
    </row>
  </sheetData>
  <mergeCells count="17">
    <mergeCell ref="A4:E4"/>
    <mergeCell ref="A26:E26"/>
    <mergeCell ref="A38:E38"/>
    <mergeCell ref="A2:E2"/>
    <mergeCell ref="A16:E16"/>
    <mergeCell ref="A15:E15"/>
    <mergeCell ref="A7:E7"/>
    <mergeCell ref="B12:E12"/>
    <mergeCell ref="B13:E13"/>
    <mergeCell ref="A1:E1"/>
    <mergeCell ref="A5:E5"/>
    <mergeCell ref="B11:E11"/>
    <mergeCell ref="A37:E37"/>
    <mergeCell ref="A6:E6"/>
    <mergeCell ref="A9:E9"/>
    <mergeCell ref="A27:E27"/>
    <mergeCell ref="A3:E3"/>
  </mergeCells>
  <conditionalFormatting sqref="B11">
    <cfRule type="expression" priority="1" dxfId="0">
      <formula>ISNUMBER(SEARCH("대상 요건 충족",B11))</formula>
    </cfRule>
    <cfRule type="expression" priority="2" dxfId="1">
      <formula>ISNUMBER(SEARCH("판단보류",B11))</formula>
    </cfRule>
    <cfRule type="expression" priority="3" dxfId="2">
      <formula>ISNUMBER(SEARCH("요건 미충족",B11))</formula>
    </cfRule>
  </conditionalFormatting>
  <conditionalFormatting sqref="B12">
    <cfRule type="expression" priority="4" dxfId="0">
      <formula>ISNUMBER(SEARCH("대상 요건 충족",B12))</formula>
    </cfRule>
    <cfRule type="expression" priority="5" dxfId="1">
      <formula>ISNUMBER(SEARCH("판단보류",B12))</formula>
    </cfRule>
    <cfRule type="expression" priority="6" dxfId="2">
      <formula>ISNUMBER(SEARCH("요건 미충족",B12))</formula>
    </cfRule>
  </conditionalFormatting>
  <conditionalFormatting sqref="B13">
    <cfRule type="expression" priority="7" dxfId="0">
      <formula>ISNUMBER(SEARCH("대상 요건 충족",B13))</formula>
    </cfRule>
    <cfRule type="expression" priority="8" dxfId="1">
      <formula>ISNUMBER(SEARCH("판단보류",B13))</formula>
    </cfRule>
    <cfRule type="expression" priority="9" dxfId="2">
      <formula>ISNUMBER(SEARCH("요건 미충족",B13))</formula>
    </cfRule>
  </conditionalFormatting>
  <conditionalFormatting sqref="E24">
    <cfRule type="expression" priority="10" dxfId="0">
      <formula>ISNUMBER(SEARCH("대상 요건 충족",E24))</formula>
    </cfRule>
    <cfRule type="expression" priority="11" dxfId="1">
      <formula>ISNUMBER(SEARCH("판단보류",E24))</formula>
    </cfRule>
    <cfRule type="expression" priority="12" dxfId="2">
      <formula>ISNUMBER(SEARCH("요건 미충족",E24))</formula>
    </cfRule>
  </conditionalFormatting>
  <conditionalFormatting sqref="E35">
    <cfRule type="expression" priority="13" dxfId="0">
      <formula>ISNUMBER(SEARCH("대상 요건 충족",E35))</formula>
    </cfRule>
    <cfRule type="expression" priority="14" dxfId="1">
      <formula>ISNUMBER(SEARCH("판단보류",E35))</formula>
    </cfRule>
    <cfRule type="expression" priority="15" dxfId="2">
      <formula>ISNUMBER(SEARCH("요건 미충족",E35))</formula>
    </cfRule>
  </conditionalFormatting>
  <conditionalFormatting sqref="E46">
    <cfRule type="expression" priority="16" dxfId="0">
      <formula>ISNUMBER(SEARCH("대상 요건 충족",E46))</formula>
    </cfRule>
    <cfRule type="expression" priority="17" dxfId="1">
      <formula>ISNUMBER(SEARCH("판단보류",E46))</formula>
    </cfRule>
    <cfRule type="expression" priority="18" dxfId="2">
      <formula>ISNUMBER(SEARCH("요건 미충족",E46))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2026-07-11T07:06:02Z</dcterms:created>
  <dcterms:modified xsi:type="dcterms:W3CDTF">2026-07-11T07:06:02Z</dcterms:modified>
</cp:coreProperties>
</file>